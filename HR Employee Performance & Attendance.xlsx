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projects\Ms excel\"/>
    </mc:Choice>
  </mc:AlternateContent>
  <xr:revisionPtr revIDLastSave="0" documentId="13_ncr:1_{D8AC5271-D718-4F31-89CA-B76F45C8D6E4}" xr6:coauthVersionLast="47" xr6:coauthVersionMax="47" xr10:uidLastSave="{00000000-0000-0000-0000-000000000000}"/>
  <bookViews>
    <workbookView xWindow="-108" yWindow="-108" windowWidth="23256" windowHeight="12456" activeTab="3" xr2:uid="{B7AEBA4B-4498-4182-962A-EC127D66D1D8}"/>
  </bookViews>
  <sheets>
    <sheet name="Raw_data" sheetId="2" r:id="rId1"/>
    <sheet name="Cleaned_data" sheetId="1" r:id="rId2"/>
    <sheet name="Processing" sheetId="3" state="hidden" r:id="rId3"/>
    <sheet name="Dashboard" sheetId="4" r:id="rId4"/>
  </sheets>
  <definedNames>
    <definedName name="Slicer_Dept">#N/A</definedName>
    <definedName name="Slicer_Loc">#N/A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1" l="1"/>
  <c r="P7" i="1" s="1"/>
  <c r="R7" i="1"/>
  <c r="N8" i="1"/>
  <c r="P8" i="1" s="1"/>
  <c r="R8" i="1"/>
  <c r="N9" i="1"/>
  <c r="P9" i="1"/>
  <c r="R9" i="1"/>
  <c r="N10" i="1"/>
  <c r="P10" i="1" s="1"/>
  <c r="R10" i="1"/>
  <c r="N11" i="1"/>
  <c r="P11" i="1"/>
  <c r="R11" i="1"/>
  <c r="N12" i="1"/>
  <c r="P12" i="1" s="1"/>
  <c r="R12" i="1"/>
  <c r="N13" i="1"/>
  <c r="P13" i="1" s="1"/>
  <c r="R13" i="1"/>
  <c r="N14" i="1"/>
  <c r="P14" i="1" s="1"/>
  <c r="R14" i="1"/>
  <c r="N15" i="1"/>
  <c r="P15" i="1"/>
  <c r="R15" i="1"/>
  <c r="N16" i="1"/>
  <c r="P16" i="1"/>
  <c r="R16" i="1"/>
  <c r="N17" i="1"/>
  <c r="P17" i="1" s="1"/>
  <c r="R17" i="1"/>
  <c r="N18" i="1"/>
  <c r="P18" i="1"/>
  <c r="R18" i="1"/>
  <c r="N19" i="1"/>
  <c r="P19" i="1"/>
  <c r="R19" i="1"/>
  <c r="N20" i="1"/>
  <c r="P20" i="1" s="1"/>
  <c r="R20" i="1"/>
  <c r="N21" i="1"/>
  <c r="P21" i="1" s="1"/>
  <c r="R21" i="1"/>
  <c r="N22" i="1"/>
  <c r="P22" i="1"/>
  <c r="R22" i="1"/>
  <c r="N23" i="1"/>
  <c r="P23" i="1"/>
  <c r="R23" i="1"/>
  <c r="N24" i="1"/>
  <c r="P24" i="1" s="1"/>
  <c r="R24" i="1"/>
  <c r="N25" i="1"/>
  <c r="P25" i="1"/>
  <c r="R25" i="1"/>
  <c r="N26" i="1"/>
  <c r="P26" i="1" s="1"/>
  <c r="R26" i="1"/>
  <c r="N27" i="1"/>
  <c r="P27" i="1"/>
  <c r="R27" i="1"/>
  <c r="N28" i="1"/>
  <c r="P28" i="1" s="1"/>
  <c r="R28" i="1"/>
  <c r="N29" i="1"/>
  <c r="P29" i="1" s="1"/>
  <c r="R29" i="1"/>
  <c r="N30" i="1"/>
  <c r="P30" i="1" s="1"/>
  <c r="R30" i="1"/>
  <c r="N31" i="1"/>
  <c r="P31" i="1"/>
  <c r="R31" i="1"/>
  <c r="N32" i="1"/>
  <c r="P32" i="1"/>
  <c r="R32" i="1"/>
  <c r="N33" i="1"/>
  <c r="P33" i="1" s="1"/>
  <c r="R33" i="1"/>
  <c r="N34" i="1"/>
  <c r="P34" i="1"/>
  <c r="R34" i="1"/>
  <c r="N35" i="1"/>
  <c r="P35" i="1"/>
  <c r="R35" i="1"/>
  <c r="N36" i="1"/>
  <c r="P36" i="1" s="1"/>
  <c r="R36" i="1"/>
  <c r="N37" i="1"/>
  <c r="P37" i="1"/>
  <c r="R37" i="1"/>
  <c r="N38" i="1"/>
  <c r="P38" i="1"/>
  <c r="R38" i="1"/>
  <c r="N39" i="1"/>
  <c r="P39" i="1"/>
  <c r="R39" i="1"/>
  <c r="N40" i="1"/>
  <c r="P40" i="1"/>
  <c r="R40" i="1"/>
  <c r="N41" i="1"/>
  <c r="P41" i="1"/>
  <c r="R41" i="1"/>
  <c r="N42" i="1"/>
  <c r="P42" i="1" s="1"/>
  <c r="R42" i="1"/>
  <c r="N43" i="1"/>
  <c r="P43" i="1"/>
  <c r="R43" i="1"/>
  <c r="N44" i="1"/>
  <c r="P44" i="1" s="1"/>
  <c r="R44" i="1"/>
  <c r="N45" i="1"/>
  <c r="P45" i="1" s="1"/>
  <c r="R45" i="1"/>
  <c r="N46" i="1"/>
  <c r="P46" i="1" s="1"/>
  <c r="R46" i="1"/>
  <c r="N47" i="1"/>
  <c r="P47" i="1"/>
  <c r="R47" i="1"/>
  <c r="N48" i="1"/>
  <c r="P48" i="1"/>
  <c r="R48" i="1"/>
  <c r="N49" i="1"/>
  <c r="P49" i="1" s="1"/>
  <c r="R49" i="1"/>
  <c r="N50" i="1"/>
  <c r="P50" i="1"/>
  <c r="R50" i="1"/>
  <c r="N51" i="1"/>
  <c r="P51" i="1"/>
  <c r="R51" i="1"/>
  <c r="N52" i="1"/>
  <c r="P52" i="1" s="1"/>
  <c r="R52" i="1"/>
  <c r="N53" i="1"/>
  <c r="P53" i="1"/>
  <c r="R53" i="1"/>
  <c r="N54" i="1"/>
  <c r="P54" i="1"/>
  <c r="R54" i="1"/>
  <c r="N55" i="1"/>
  <c r="P55" i="1"/>
  <c r="R55" i="1"/>
  <c r="N56" i="1"/>
  <c r="P56" i="1"/>
  <c r="R56" i="1"/>
  <c r="N57" i="1"/>
  <c r="P57" i="1"/>
  <c r="R57" i="1"/>
  <c r="N58" i="1"/>
  <c r="P58" i="1" s="1"/>
  <c r="R58" i="1"/>
  <c r="N59" i="1"/>
  <c r="P59" i="1"/>
  <c r="R59" i="1"/>
  <c r="N60" i="1"/>
  <c r="P60" i="1"/>
  <c r="R60" i="1"/>
  <c r="N61" i="1"/>
  <c r="P61" i="1" s="1"/>
  <c r="R61" i="1"/>
  <c r="N62" i="1"/>
  <c r="P62" i="1" s="1"/>
  <c r="R62" i="1"/>
  <c r="N63" i="1"/>
  <c r="P63" i="1"/>
  <c r="R63" i="1"/>
  <c r="N64" i="1"/>
  <c r="P64" i="1"/>
  <c r="R64" i="1"/>
  <c r="N65" i="1"/>
  <c r="P65" i="1" s="1"/>
  <c r="R65" i="1"/>
  <c r="N66" i="1"/>
  <c r="P66" i="1"/>
  <c r="R66" i="1"/>
  <c r="N67" i="1"/>
  <c r="P67" i="1"/>
  <c r="R67" i="1"/>
  <c r="N68" i="1"/>
  <c r="P68" i="1"/>
  <c r="R68" i="1"/>
  <c r="N69" i="1"/>
  <c r="P69" i="1"/>
  <c r="R69" i="1"/>
  <c r="N70" i="1"/>
  <c r="P70" i="1"/>
  <c r="R70" i="1"/>
  <c r="N71" i="1"/>
  <c r="P71" i="1"/>
  <c r="R71" i="1"/>
  <c r="N72" i="1"/>
  <c r="P72" i="1"/>
  <c r="R72" i="1"/>
  <c r="N73" i="1"/>
  <c r="P73" i="1"/>
  <c r="R73" i="1"/>
  <c r="N74" i="1"/>
  <c r="P74" i="1" s="1"/>
  <c r="R74" i="1"/>
  <c r="N75" i="1"/>
  <c r="P75" i="1"/>
  <c r="R75" i="1"/>
  <c r="N76" i="1"/>
  <c r="P76" i="1" s="1"/>
  <c r="R76" i="1"/>
  <c r="N77" i="1"/>
  <c r="P77" i="1" s="1"/>
  <c r="R77" i="1"/>
  <c r="N78" i="1"/>
  <c r="P78" i="1" s="1"/>
  <c r="R78" i="1"/>
  <c r="N79" i="1"/>
  <c r="P79" i="1"/>
  <c r="R79" i="1"/>
  <c r="N80" i="1"/>
  <c r="P80" i="1"/>
  <c r="R80" i="1"/>
  <c r="N81" i="1"/>
  <c r="P81" i="1" s="1"/>
  <c r="R81" i="1"/>
  <c r="N82" i="1"/>
  <c r="P82" i="1"/>
  <c r="R82" i="1"/>
  <c r="N83" i="1"/>
  <c r="P83" i="1"/>
  <c r="R83" i="1"/>
  <c r="N84" i="1"/>
  <c r="P84" i="1"/>
  <c r="R84" i="1"/>
  <c r="N85" i="1"/>
  <c r="P85" i="1"/>
  <c r="R85" i="1"/>
  <c r="N86" i="1"/>
  <c r="P86" i="1"/>
  <c r="R86" i="1"/>
  <c r="N87" i="1"/>
  <c r="P87" i="1"/>
  <c r="R87" i="1"/>
  <c r="N88" i="1"/>
  <c r="P88" i="1"/>
  <c r="R88" i="1"/>
  <c r="N89" i="1"/>
  <c r="P89" i="1"/>
  <c r="R89" i="1"/>
  <c r="N90" i="1"/>
  <c r="P90" i="1" s="1"/>
  <c r="R90" i="1"/>
  <c r="N91" i="1"/>
  <c r="P91" i="1"/>
  <c r="R91" i="1"/>
  <c r="N92" i="1"/>
  <c r="P92" i="1"/>
  <c r="R92" i="1"/>
  <c r="N93" i="1"/>
  <c r="P93" i="1" s="1"/>
  <c r="R93" i="1"/>
  <c r="N94" i="1"/>
  <c r="P94" i="1" s="1"/>
  <c r="R94" i="1"/>
  <c r="N95" i="1"/>
  <c r="P95" i="1"/>
  <c r="R95" i="1"/>
  <c r="N96" i="1"/>
  <c r="P96" i="1"/>
  <c r="R96" i="1"/>
  <c r="N97" i="1"/>
  <c r="P97" i="1" s="1"/>
  <c r="R97" i="1"/>
  <c r="N98" i="1"/>
  <c r="P98" i="1"/>
  <c r="R98" i="1"/>
  <c r="N99" i="1"/>
  <c r="P99" i="1"/>
  <c r="R99" i="1"/>
  <c r="N100" i="1"/>
  <c r="P100" i="1"/>
  <c r="R100" i="1"/>
  <c r="N101" i="1"/>
  <c r="P101" i="1" s="1"/>
  <c r="R101" i="1"/>
  <c r="R3" i="1"/>
  <c r="R4" i="1"/>
  <c r="R5" i="1"/>
  <c r="R6" i="1"/>
  <c r="R2" i="1"/>
  <c r="N3" i="1"/>
  <c r="P3" i="1" s="1"/>
  <c r="N4" i="1"/>
  <c r="P4" i="1" s="1"/>
  <c r="N5" i="1"/>
  <c r="P5" i="1" s="1"/>
  <c r="N6" i="1"/>
  <c r="P6" i="1" s="1"/>
  <c r="N2" i="1"/>
  <c r="P2" i="1" s="1"/>
  <c r="F4" i="3"/>
  <c r="F3" i="3"/>
  <c r="F1" i="3"/>
  <c r="F2" i="3"/>
</calcChain>
</file>

<file path=xl/sharedStrings.xml><?xml version="1.0" encoding="utf-8"?>
<sst xmlns="http://schemas.openxmlformats.org/spreadsheetml/2006/main" count="1768" uniqueCount="155">
  <si>
    <t>Emp ID</t>
  </si>
  <si>
    <t>Name</t>
  </si>
  <si>
    <t>Dept</t>
  </si>
  <si>
    <t>Role</t>
  </si>
  <si>
    <t>Date</t>
  </si>
  <si>
    <t>Month</t>
  </si>
  <si>
    <t>Status</t>
  </si>
  <si>
    <t>Work Hrs</t>
  </si>
  <si>
    <t>OT</t>
  </si>
  <si>
    <t>Tasks Done</t>
  </si>
  <si>
    <t>Perf Score</t>
  </si>
  <si>
    <t>Target</t>
  </si>
  <si>
    <t>Salary</t>
  </si>
  <si>
    <t>E001</t>
  </si>
  <si>
    <t>Rajesh Kumar</t>
  </si>
  <si>
    <t>Sales</t>
  </si>
  <si>
    <t>Associate</t>
  </si>
  <si>
    <t>Mumbai</t>
  </si>
  <si>
    <t>April</t>
  </si>
  <si>
    <t>Present</t>
  </si>
  <si>
    <t>E002</t>
  </si>
  <si>
    <t>Sarah Jones</t>
  </si>
  <si>
    <t>IT</t>
  </si>
  <si>
    <t>Developer</t>
  </si>
  <si>
    <t>Bangalore</t>
  </si>
  <si>
    <t>WFH</t>
  </si>
  <si>
    <t>E003</t>
  </si>
  <si>
    <t>Aman Verma</t>
  </si>
  <si>
    <t>HR</t>
  </si>
  <si>
    <t>Recruiter</t>
  </si>
  <si>
    <t>Delhi</t>
  </si>
  <si>
    <t>Leave</t>
  </si>
  <si>
    <t>E004</t>
  </si>
  <si>
    <t>Priya Singh</t>
  </si>
  <si>
    <t>Lead</t>
  </si>
  <si>
    <t>E005</t>
  </si>
  <si>
    <t>Kevin Pillai</t>
  </si>
  <si>
    <t>Support</t>
  </si>
  <si>
    <t>Absent</t>
  </si>
  <si>
    <t>Loc</t>
  </si>
  <si>
    <t>Achieve %</t>
  </si>
  <si>
    <t>Bonus?</t>
  </si>
  <si>
    <t>Rating</t>
  </si>
  <si>
    <t>Remarks</t>
  </si>
  <si>
    <t>(Formula)</t>
  </si>
  <si>
    <t>Grand Total</t>
  </si>
  <si>
    <t>Sum of Perf Score</t>
  </si>
  <si>
    <t>Average of Perf Score</t>
  </si>
  <si>
    <t>Average of Tasks Done</t>
  </si>
  <si>
    <t>HR PERFORMANCE &amp; ATTENDANCE DASHBOARD</t>
  </si>
  <si>
    <t>Count of Emp ID</t>
  </si>
  <si>
    <t>Total Employees</t>
  </si>
  <si>
    <t>Average Performance</t>
  </si>
  <si>
    <t>Attendance</t>
  </si>
  <si>
    <t>may</t>
  </si>
  <si>
    <t>December</t>
  </si>
  <si>
    <t>February</t>
  </si>
  <si>
    <t>June</t>
  </si>
  <si>
    <t>Task done</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</si>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</sst>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1F1F1F"/>
      <name val="Arial"/>
      <family val="2"/>
    </font>
    <font>
      <b/>
      <sz val="11"/>
      <color rgb="FF1F1F1F"/>
      <name val="Arial"/>
      <family val="2"/>
    </font>
    <font>
      <i/>
      <sz val="11"/>
      <color rgb="FF1F1F1F"/>
      <name val="Arial"/>
      <family val="2"/>
    </font>
    <font>
      <b/>
      <sz val="20"/>
      <color theme="0"/>
      <name val="Calibri"/>
      <family val="2"/>
      <scheme val="minor"/>
    </font>
    <font>
      <sz val="8"/>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23">
    <xf numFmtId="0" fontId="0" fillId="0" borderId="0" xfId="0"/>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horizontal="left" vertical="center" wrapText="1" indent="1" readingOrder="1"/>
    </xf>
    <xf numFmtId="16" fontId="1" fillId="0" borderId="1" xfId="0" applyNumberFormat="1"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2" fillId="0" borderId="5" xfId="0" applyFont="1" applyBorder="1" applyAlignment="1">
      <alignment horizontal="left" vertical="center" wrapText="1" indent="1" readingOrder="1"/>
    </xf>
    <xf numFmtId="0" fontId="2" fillId="0" borderId="6" xfId="0" applyFont="1" applyBorder="1" applyAlignment="1">
      <alignment vertical="center" wrapText="1" readingOrder="1"/>
    </xf>
    <xf numFmtId="0" fontId="1" fillId="0" borderId="7" xfId="0" applyFont="1" applyBorder="1" applyAlignment="1">
      <alignment horizontal="left" vertical="center" wrapText="1" indent="1" readingOrder="1"/>
    </xf>
    <xf numFmtId="0" fontId="1" fillId="0" borderId="8" xfId="0" applyFont="1" applyBorder="1" applyAlignment="1">
      <alignment horizontal="left" vertical="center" wrapText="1" indent="1" readingOrder="1"/>
    </xf>
    <xf numFmtId="16" fontId="1" fillId="0" borderId="8" xfId="0" applyNumberFormat="1"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3" fillId="0" borderId="3" xfId="0" applyFont="1" applyBorder="1" applyAlignment="1">
      <alignment vertical="center" wrapText="1" readingOrder="1"/>
    </xf>
    <xf numFmtId="0" fontId="3" fillId="0" borderId="8" xfId="0" applyFont="1" applyBorder="1" applyAlignment="1">
      <alignment horizontal="left" vertical="center" wrapText="1" indent="1" readingOrder="1"/>
    </xf>
    <xf numFmtId="0" fontId="3" fillId="0" borderId="9" xfId="0" applyFont="1" applyBorder="1" applyAlignment="1">
      <alignment vertical="center" wrapText="1" readingOrder="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4" fillId="2" borderId="0" xfId="0" applyFont="1" applyFill="1" applyAlignment="1">
      <alignment horizontal="center" vertical="center"/>
    </xf>
    <xf numFmtId="0" fontId="0" fillId="0" borderId="0" xfId="0" applyNumberFormat="1"/>
  </cellXfs>
  <cellStyles count="1">
    <cellStyle name="Normal" xfId="0" builtinId="0"/>
  </cellStyles>
  <dxfs count="27">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
      <font>
        <b val="0"/>
        <i/>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1" formatCode="dd/mmm"/>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Employee Performance &amp; Attendance.xlsx]Processing!PivotTable1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Processing!$B$1</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Processing!$A$2:$A$5</c:f>
              <c:strCache>
                <c:ptCount val="3"/>
                <c:pt idx="0">
                  <c:v>HR</c:v>
                </c:pt>
                <c:pt idx="1">
                  <c:v>IT</c:v>
                </c:pt>
                <c:pt idx="2">
                  <c:v>Sales</c:v>
                </c:pt>
              </c:strCache>
            </c:strRef>
          </c:cat>
          <c:val>
            <c:numRef>
              <c:f>Processing!$B$2:$B$5</c:f>
              <c:numCache>
                <c:formatCode>General</c:formatCode>
                <c:ptCount val="3"/>
                <c:pt idx="0">
                  <c:v>-61.129999999999995</c:v>
                </c:pt>
                <c:pt idx="1">
                  <c:v>-61.595000000000006</c:v>
                </c:pt>
                <c:pt idx="2">
                  <c:v>-60.089999999999989</c:v>
                </c:pt>
              </c:numCache>
            </c:numRef>
          </c:val>
          <c:extLst>
            <c:ext xmlns:c16="http://schemas.microsoft.com/office/drawing/2014/chart" uri="{C3380CC4-5D6E-409C-BE32-E72D297353CC}">
              <c16:uniqueId val="{00000000-4E77-4BCA-97F6-C5065E391D23}"/>
            </c:ext>
          </c:extLst>
        </c:ser>
        <c:dLbls>
          <c:dLblPos val="outEnd"/>
          <c:showLegendKey val="0"/>
          <c:showVal val="1"/>
          <c:showCatName val="0"/>
          <c:showSerName val="0"/>
          <c:showPercent val="0"/>
          <c:showBubbleSize val="0"/>
        </c:dLbls>
        <c:gapWidth val="444"/>
        <c:overlap val="-90"/>
        <c:axId val="879665759"/>
        <c:axId val="879666239"/>
      </c:barChart>
      <c:catAx>
        <c:axId val="879665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9666239"/>
        <c:crosses val="autoZero"/>
        <c:auto val="1"/>
        <c:lblAlgn val="ctr"/>
        <c:lblOffset val="100"/>
        <c:noMultiLvlLbl val="0"/>
      </c:catAx>
      <c:valAx>
        <c:axId val="879666239"/>
        <c:scaling>
          <c:orientation val="minMax"/>
        </c:scaling>
        <c:delete val="1"/>
        <c:axPos val="l"/>
        <c:numFmt formatCode="General" sourceLinked="1"/>
        <c:majorTickMark val="none"/>
        <c:minorTickMark val="none"/>
        <c:tickLblPos val="nextTo"/>
        <c:crossAx val="87966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9000">
          <a:srgbClr val="B8CAE8"/>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Performance &amp; Attendance.xlsx]Processing!PivotTable5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Processing!$E$11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21-4AAF-B128-E4817FD89D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21-4AAF-B128-E4817FD89D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21-4AAF-B128-E4817FD89DCD}"/>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21-4AAF-B128-E4817FD89D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Processing!$D$12:$D$15</c:f>
              <c:strCache>
                <c:ptCount val="3"/>
                <c:pt idx="0">
                  <c:v>HR</c:v>
                </c:pt>
                <c:pt idx="1">
                  <c:v>IT</c:v>
                </c:pt>
                <c:pt idx="2">
                  <c:v>Sales</c:v>
                </c:pt>
              </c:strCache>
            </c:strRef>
          </c:cat>
          <c:val>
            <c:numRef>
              <c:f>Processing!$E$12:$E$15</c:f>
              <c:numCache>
                <c:formatCode>General</c:formatCode>
                <c:ptCount val="3"/>
                <c:pt idx="0">
                  <c:v>-1222.5999999999999</c:v>
                </c:pt>
                <c:pt idx="1">
                  <c:v>-2463.8000000000002</c:v>
                </c:pt>
                <c:pt idx="2">
                  <c:v>-2403.5999999999995</c:v>
                </c:pt>
              </c:numCache>
            </c:numRef>
          </c:val>
          <c:extLst>
            <c:ext xmlns:c16="http://schemas.microsoft.com/office/drawing/2014/chart" uri="{C3380CC4-5D6E-409C-BE32-E72D297353CC}">
              <c16:uniqueId val="{00000006-EF21-4AAF-B128-E4817FD89D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484217</xdr:colOff>
      <xdr:row>8</xdr:row>
      <xdr:rowOff>73153</xdr:rowOff>
    </xdr:from>
    <xdr:to>
      <xdr:col>18</xdr:col>
      <xdr:colOff>547268</xdr:colOff>
      <xdr:row>15</xdr:row>
      <xdr:rowOff>19273</xdr:rowOff>
    </xdr:to>
    <xdr:sp macro="" textlink="Processing!F1">
      <xdr:nvSpPr>
        <xdr:cNvPr id="2" name="Rectangle: Rounded Corners 1">
          <a:extLst>
            <a:ext uri="{FF2B5EF4-FFF2-40B4-BE49-F238E27FC236}">
              <a16:creationId xmlns:a16="http://schemas.microsoft.com/office/drawing/2014/main" id="{597A4149-FF3A-0EFB-748D-A701E3373241}"/>
            </a:ext>
          </a:extLst>
        </xdr:cNvPr>
        <xdr:cNvSpPr/>
      </xdr:nvSpPr>
      <xdr:spPr>
        <a:xfrm>
          <a:off x="8409017" y="1695124"/>
          <a:ext cx="3111051" cy="124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1C7D98-F39F-43D3-87AE-8EF558C264A0}" type="TxLink">
            <a:rPr lang="en-US" sz="4800" b="0" i="0" u="none" strike="noStrike">
              <a:solidFill>
                <a:srgbClr val="000000"/>
              </a:solidFill>
              <a:latin typeface="Calibri"/>
              <a:ea typeface="Calibri"/>
              <a:cs typeface="Calibri"/>
            </a:rPr>
            <a:pPr algn="ctr"/>
            <a:t>100</a:t>
          </a:fld>
          <a:endParaRPr lang="en-US" sz="4800"/>
        </a:p>
      </xdr:txBody>
    </xdr:sp>
    <xdr:clientData/>
  </xdr:twoCellAnchor>
  <xdr:twoCellAnchor>
    <xdr:from>
      <xdr:col>13</xdr:col>
      <xdr:colOff>453516</xdr:colOff>
      <xdr:row>20</xdr:row>
      <xdr:rowOff>54429</xdr:rowOff>
    </xdr:from>
    <xdr:to>
      <xdr:col>18</xdr:col>
      <xdr:colOff>355352</xdr:colOff>
      <xdr:row>27</xdr:row>
      <xdr:rowOff>19088</xdr:rowOff>
    </xdr:to>
    <xdr:sp macro="" textlink="Processing!F2">
      <xdr:nvSpPr>
        <xdr:cNvPr id="3" name="Rectangle: Rounded Corners 2">
          <a:extLst>
            <a:ext uri="{FF2B5EF4-FFF2-40B4-BE49-F238E27FC236}">
              <a16:creationId xmlns:a16="http://schemas.microsoft.com/office/drawing/2014/main" id="{F0F1AA10-2E22-35FB-4F0C-B05527CF54AB}"/>
            </a:ext>
          </a:extLst>
        </xdr:cNvPr>
        <xdr:cNvSpPr/>
      </xdr:nvSpPr>
      <xdr:spPr>
        <a:xfrm>
          <a:off x="8378316" y="3897086"/>
          <a:ext cx="2949836" cy="1260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4A5FA5-C01F-4E89-9A84-543B2B919B1E}" type="TxLink">
            <a:rPr lang="en-US" sz="4000" b="0" i="0" u="none" strike="noStrike">
              <a:solidFill>
                <a:srgbClr val="000000"/>
              </a:solidFill>
              <a:latin typeface="Calibri"/>
              <a:ea typeface="Calibri"/>
              <a:cs typeface="Calibri"/>
            </a:rPr>
            <a:pPr algn="ctr"/>
            <a:t>-60.9</a:t>
          </a:fld>
          <a:endParaRPr lang="en-IN" sz="4000"/>
        </a:p>
      </xdr:txBody>
    </xdr:sp>
    <xdr:clientData/>
  </xdr:twoCellAnchor>
  <xdr:twoCellAnchor>
    <xdr:from>
      <xdr:col>19</xdr:col>
      <xdr:colOff>410704</xdr:colOff>
      <xdr:row>8</xdr:row>
      <xdr:rowOff>77329</xdr:rowOff>
    </xdr:from>
    <xdr:to>
      <xdr:col>24</xdr:col>
      <xdr:colOff>499912</xdr:colOff>
      <xdr:row>14</xdr:row>
      <xdr:rowOff>148317</xdr:rowOff>
    </xdr:to>
    <xdr:sp macro="" textlink="Processing!F3">
      <xdr:nvSpPr>
        <xdr:cNvPr id="4" name="Rectangle: Rounded Corners 3">
          <a:extLst>
            <a:ext uri="{FF2B5EF4-FFF2-40B4-BE49-F238E27FC236}">
              <a16:creationId xmlns:a16="http://schemas.microsoft.com/office/drawing/2014/main" id="{C3DE8DE2-65CB-0C2D-A06D-7479F4EF7CF9}"/>
            </a:ext>
          </a:extLst>
        </xdr:cNvPr>
        <xdr:cNvSpPr/>
      </xdr:nvSpPr>
      <xdr:spPr>
        <a:xfrm>
          <a:off x="11993104" y="1699300"/>
          <a:ext cx="3137208" cy="11813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22C9D2-4992-4671-A775-FDAE28833BC4}" type="TxLink">
            <a:rPr lang="en-US" sz="4800" b="0" i="0" u="none" strike="noStrike">
              <a:solidFill>
                <a:srgbClr val="000000"/>
              </a:solidFill>
              <a:latin typeface="Calibri"/>
              <a:ea typeface="Calibri"/>
              <a:cs typeface="Calibri"/>
            </a:rPr>
            <a:pPr algn="ctr"/>
            <a:t>100</a:t>
          </a:fld>
          <a:endParaRPr lang="en-US" sz="4800"/>
        </a:p>
      </xdr:txBody>
    </xdr:sp>
    <xdr:clientData/>
  </xdr:twoCellAnchor>
  <xdr:twoCellAnchor>
    <xdr:from>
      <xdr:col>0</xdr:col>
      <xdr:colOff>275404</xdr:colOff>
      <xdr:row>5</xdr:row>
      <xdr:rowOff>20877</xdr:rowOff>
    </xdr:from>
    <xdr:to>
      <xdr:col>13</xdr:col>
      <xdr:colOff>261257</xdr:colOff>
      <xdr:row>36</xdr:row>
      <xdr:rowOff>54429</xdr:rowOff>
    </xdr:to>
    <xdr:graphicFrame macro="">
      <xdr:nvGraphicFramePr>
        <xdr:cNvPr id="5" name="Chart 4">
          <a:extLst>
            <a:ext uri="{FF2B5EF4-FFF2-40B4-BE49-F238E27FC236}">
              <a16:creationId xmlns:a16="http://schemas.microsoft.com/office/drawing/2014/main" id="{102D9750-F53E-4A50-BB5B-49735DAD2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472857</xdr:colOff>
      <xdr:row>28</xdr:row>
      <xdr:rowOff>25052</xdr:rowOff>
    </xdr:from>
    <xdr:to>
      <xdr:col>18</xdr:col>
      <xdr:colOff>359228</xdr:colOff>
      <xdr:row>35</xdr:row>
      <xdr:rowOff>163286</xdr:rowOff>
    </xdr:to>
    <mc:AlternateContent xmlns:mc="http://schemas.openxmlformats.org/markup-compatibility/2006" xmlns:a14="http://schemas.microsoft.com/office/drawing/2010/main">
      <mc:Choice Requires="a14">
        <xdr:graphicFrame macro="">
          <xdr:nvGraphicFramePr>
            <xdr:cNvPr id="6" name="Dept">
              <a:extLst>
                <a:ext uri="{FF2B5EF4-FFF2-40B4-BE49-F238E27FC236}">
                  <a16:creationId xmlns:a16="http://schemas.microsoft.com/office/drawing/2014/main" id="{7E83ABE6-4B06-B9FA-AFD5-5B807F4142B0}"/>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8397657" y="5348166"/>
              <a:ext cx="2934371" cy="1433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537184</xdr:colOff>
      <xdr:row>16</xdr:row>
      <xdr:rowOff>10886</xdr:rowOff>
    </xdr:from>
    <xdr:to>
      <xdr:col>23</xdr:col>
      <xdr:colOff>174171</xdr:colOff>
      <xdr:row>26</xdr:row>
      <xdr:rowOff>21771</xdr:rowOff>
    </xdr:to>
    <mc:AlternateContent xmlns:mc="http://schemas.openxmlformats.org/markup-compatibility/2006" xmlns:a14="http://schemas.microsoft.com/office/drawing/2010/main">
      <mc:Choice Requires="a14">
        <xdr:graphicFrame macro="">
          <xdr:nvGraphicFramePr>
            <xdr:cNvPr id="7" name="Loc">
              <a:extLst>
                <a:ext uri="{FF2B5EF4-FFF2-40B4-BE49-F238E27FC236}">
                  <a16:creationId xmlns:a16="http://schemas.microsoft.com/office/drawing/2014/main" id="{4633E605-E0E3-06B9-9547-0D3335FE84E3}"/>
                </a:ext>
              </a:extLst>
            </xdr:cNvPr>
            <xdr:cNvGraphicFramePr/>
          </xdr:nvGraphicFramePr>
          <xdr:xfrm>
            <a:off x="0" y="0"/>
            <a:ext cx="0" cy="0"/>
          </xdr:xfrm>
          <a:graphic>
            <a:graphicData uri="http://schemas.microsoft.com/office/drawing/2010/slicer">
              <sle:slicer xmlns:sle="http://schemas.microsoft.com/office/drawing/2010/slicer" name="Loc"/>
            </a:graphicData>
          </a:graphic>
        </xdr:graphicFrame>
      </mc:Choice>
      <mc:Fallback xmlns="">
        <xdr:sp macro="" textlink="">
          <xdr:nvSpPr>
            <xdr:cNvPr id="0" name=""/>
            <xdr:cNvSpPr>
              <a:spLocks noTextEdit="1"/>
            </xdr:cNvSpPr>
          </xdr:nvSpPr>
          <xdr:spPr>
            <a:xfrm>
              <a:off x="11509984" y="3113315"/>
              <a:ext cx="2684987" cy="1861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450043</xdr:colOff>
      <xdr:row>26</xdr:row>
      <xdr:rowOff>145692</xdr:rowOff>
    </xdr:from>
    <xdr:to>
      <xdr:col>23</xdr:col>
      <xdr:colOff>228600</xdr:colOff>
      <xdr:row>35</xdr:row>
      <xdr:rowOff>166567</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2DF15E97-951C-5CB2-3448-BF49E679E6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22843" y="5098692"/>
              <a:ext cx="2826557" cy="1686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476542</xdr:colOff>
      <xdr:row>3</xdr:row>
      <xdr:rowOff>41020</xdr:rowOff>
    </xdr:from>
    <xdr:to>
      <xdr:col>18</xdr:col>
      <xdr:colOff>528629</xdr:colOff>
      <xdr:row>7</xdr:row>
      <xdr:rowOff>110622</xdr:rowOff>
    </xdr:to>
    <xdr:sp macro="" textlink="">
      <xdr:nvSpPr>
        <xdr:cNvPr id="9" name="Rectangle: Rounded Corners 8">
          <a:extLst>
            <a:ext uri="{FF2B5EF4-FFF2-40B4-BE49-F238E27FC236}">
              <a16:creationId xmlns:a16="http://schemas.microsoft.com/office/drawing/2014/main" id="{C825EF0D-B7B7-C603-8F65-75814C979740}"/>
            </a:ext>
          </a:extLst>
        </xdr:cNvPr>
        <xdr:cNvSpPr/>
      </xdr:nvSpPr>
      <xdr:spPr>
        <a:xfrm>
          <a:off x="8401342" y="737706"/>
          <a:ext cx="3100087" cy="80983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a:t>
          </a:r>
          <a:r>
            <a:rPr lang="en-IN" sz="1200"/>
            <a:t> </a:t>
          </a:r>
          <a:r>
            <a:rPr lang="en-IN" sz="1200" b="1"/>
            <a:t>EMPLOYEES</a:t>
          </a:r>
        </a:p>
      </xdr:txBody>
    </xdr:sp>
    <xdr:clientData/>
  </xdr:twoCellAnchor>
  <xdr:twoCellAnchor>
    <xdr:from>
      <xdr:col>13</xdr:col>
      <xdr:colOff>472521</xdr:colOff>
      <xdr:row>15</xdr:row>
      <xdr:rowOff>148455</xdr:rowOff>
    </xdr:from>
    <xdr:to>
      <xdr:col>18</xdr:col>
      <xdr:colOff>257006</xdr:colOff>
      <xdr:row>19</xdr:row>
      <xdr:rowOff>133062</xdr:rowOff>
    </xdr:to>
    <xdr:sp macro="" textlink="">
      <xdr:nvSpPr>
        <xdr:cNvPr id="10" name="Rectangle: Rounded Corners 9">
          <a:extLst>
            <a:ext uri="{FF2B5EF4-FFF2-40B4-BE49-F238E27FC236}">
              <a16:creationId xmlns:a16="http://schemas.microsoft.com/office/drawing/2014/main" id="{4C8F69B1-7107-1978-28F7-F32853206210}"/>
            </a:ext>
          </a:extLst>
        </xdr:cNvPr>
        <xdr:cNvSpPr/>
      </xdr:nvSpPr>
      <xdr:spPr>
        <a:xfrm>
          <a:off x="8397321" y="3065826"/>
          <a:ext cx="2832485" cy="72483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PERFORMANCE SCORE</a:t>
          </a:r>
        </a:p>
        <a:p>
          <a:pPr algn="ctr"/>
          <a:endParaRPr lang="en-IN" sz="1200" b="1"/>
        </a:p>
      </xdr:txBody>
    </xdr:sp>
    <xdr:clientData/>
  </xdr:twoCellAnchor>
  <xdr:twoCellAnchor>
    <xdr:from>
      <xdr:col>19</xdr:col>
      <xdr:colOff>411791</xdr:colOff>
      <xdr:row>3</xdr:row>
      <xdr:rowOff>62631</xdr:rowOff>
    </xdr:from>
    <xdr:to>
      <xdr:col>24</xdr:col>
      <xdr:colOff>441841</xdr:colOff>
      <xdr:row>7</xdr:row>
      <xdr:rowOff>81397</xdr:rowOff>
    </xdr:to>
    <xdr:sp macro="" textlink="">
      <xdr:nvSpPr>
        <xdr:cNvPr id="11" name="Rectangle: Rounded Corners 10">
          <a:extLst>
            <a:ext uri="{FF2B5EF4-FFF2-40B4-BE49-F238E27FC236}">
              <a16:creationId xmlns:a16="http://schemas.microsoft.com/office/drawing/2014/main" id="{54ED9B12-47E6-5253-98D3-1EE3EC463DBA}"/>
            </a:ext>
          </a:extLst>
        </xdr:cNvPr>
        <xdr:cNvSpPr/>
      </xdr:nvSpPr>
      <xdr:spPr>
        <a:xfrm>
          <a:off x="11994191" y="759317"/>
          <a:ext cx="3078050" cy="758994"/>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ATTENDANCE</a:t>
          </a:r>
        </a:p>
      </xdr:txBody>
    </xdr:sp>
    <xdr:clientData/>
  </xdr:twoCellAnchor>
  <xdr:twoCellAnchor>
    <xdr:from>
      <xdr:col>25</xdr:col>
      <xdr:colOff>200568</xdr:colOff>
      <xdr:row>8</xdr:row>
      <xdr:rowOff>74859</xdr:rowOff>
    </xdr:from>
    <xdr:to>
      <xdr:col>31</xdr:col>
      <xdr:colOff>65314</xdr:colOff>
      <xdr:row>14</xdr:row>
      <xdr:rowOff>141515</xdr:rowOff>
    </xdr:to>
    <xdr:sp macro="" textlink="Processing!F4">
      <xdr:nvSpPr>
        <xdr:cNvPr id="14" name="Rectangle: Rounded Corners 13">
          <a:extLst>
            <a:ext uri="{FF2B5EF4-FFF2-40B4-BE49-F238E27FC236}">
              <a16:creationId xmlns:a16="http://schemas.microsoft.com/office/drawing/2014/main" id="{40BD18A7-4842-9C37-5940-AF1980B65813}"/>
            </a:ext>
          </a:extLst>
        </xdr:cNvPr>
        <xdr:cNvSpPr/>
      </xdr:nvSpPr>
      <xdr:spPr>
        <a:xfrm>
          <a:off x="15440568" y="1696830"/>
          <a:ext cx="3522346" cy="1176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932BD8-745F-486D-A1DF-487A568135E7}" type="TxLink">
            <a:rPr lang="en-US" sz="4000" b="0" i="0" u="none" strike="noStrike">
              <a:solidFill>
                <a:srgbClr val="000000"/>
              </a:solidFill>
              <a:latin typeface="Calibri"/>
              <a:ea typeface="Calibri"/>
              <a:cs typeface="Calibri"/>
            </a:rPr>
            <a:pPr algn="ctr"/>
            <a:t>-69.2</a:t>
          </a:fld>
          <a:endParaRPr lang="en-IN" sz="4000"/>
        </a:p>
      </xdr:txBody>
    </xdr:sp>
    <xdr:clientData/>
  </xdr:twoCellAnchor>
  <xdr:twoCellAnchor>
    <xdr:from>
      <xdr:col>25</xdr:col>
      <xdr:colOff>255440</xdr:colOff>
      <xdr:row>3</xdr:row>
      <xdr:rowOff>39965</xdr:rowOff>
    </xdr:from>
    <xdr:to>
      <xdr:col>30</xdr:col>
      <xdr:colOff>544285</xdr:colOff>
      <xdr:row>7</xdr:row>
      <xdr:rowOff>39964</xdr:rowOff>
    </xdr:to>
    <xdr:sp macro="" textlink="">
      <xdr:nvSpPr>
        <xdr:cNvPr id="16" name="Rectangle: Rounded Corners 15">
          <a:extLst>
            <a:ext uri="{FF2B5EF4-FFF2-40B4-BE49-F238E27FC236}">
              <a16:creationId xmlns:a16="http://schemas.microsoft.com/office/drawing/2014/main" id="{CCEC1065-555F-1ED5-A44A-79E9E3A53E05}"/>
            </a:ext>
          </a:extLst>
        </xdr:cNvPr>
        <xdr:cNvSpPr/>
      </xdr:nvSpPr>
      <xdr:spPr>
        <a:xfrm>
          <a:off x="15495440" y="736651"/>
          <a:ext cx="3336845" cy="74022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Task</a:t>
          </a:r>
          <a:r>
            <a:rPr lang="en-IN" sz="1400" baseline="0"/>
            <a:t> Done</a:t>
          </a:r>
          <a:endParaRPr lang="en-IN" sz="1400"/>
        </a:p>
      </xdr:txBody>
    </xdr:sp>
    <xdr:clientData/>
  </xdr:twoCellAnchor>
  <xdr:twoCellAnchor>
    <xdr:from>
      <xdr:col>23</xdr:col>
      <xdr:colOff>438411</xdr:colOff>
      <xdr:row>16</xdr:row>
      <xdr:rowOff>0</xdr:rowOff>
    </xdr:from>
    <xdr:to>
      <xdr:col>31</xdr:col>
      <xdr:colOff>446314</xdr:colOff>
      <xdr:row>35</xdr:row>
      <xdr:rowOff>18789</xdr:rowOff>
    </xdr:to>
    <xdr:graphicFrame macro="">
      <xdr:nvGraphicFramePr>
        <xdr:cNvPr id="17" name="Chart 16">
          <a:extLst>
            <a:ext uri="{FF2B5EF4-FFF2-40B4-BE49-F238E27FC236}">
              <a16:creationId xmlns:a16="http://schemas.microsoft.com/office/drawing/2014/main" id="{48DC4093-2C91-4F1C-BCE8-90F719115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24.653596064818" createdVersion="8" refreshedVersion="8" minRefreshableVersion="3" recordCount="100" xr:uid="{E64D7C68-3934-4AEC-84AE-C27AB7D1F120}">
  <cacheSource type="worksheet">
    <worksheetSource name="Table1"/>
  </cacheSource>
  <cacheFields count="18">
    <cacheField name="Emp ID" numFmtId="0">
      <sharedItems/>
    </cacheField>
    <cacheField name="Name" numFmtId="0">
      <sharedItems/>
    </cacheField>
    <cacheField name="Dept" numFmtId="0">
      <sharedItems count="3">
        <s v="Sales"/>
        <s v="IT"/>
        <s v="HR"/>
      </sharedItems>
    </cacheField>
    <cacheField name="Role" numFmtId="0">
      <sharedItems/>
    </cacheField>
    <cacheField name="Loc" numFmtId="0">
      <sharedItems count="3">
        <s v="Mumbai"/>
        <s v="Bangalore"/>
        <s v="Delhi"/>
      </sharedItems>
    </cacheField>
    <cacheField name="Date" numFmtId="16">
      <sharedItems containsSemiMixedTypes="0" containsNonDate="0" containsDate="1" containsString="0" minDate="2026-04-01T00:00:00" maxDate="2026-04-02T00:00:00"/>
    </cacheField>
    <cacheField name="Month" numFmtId="0">
      <sharedItems count="5">
        <s v="may"/>
        <s v="December"/>
        <s v="February"/>
        <s v="June"/>
        <s v="April"/>
      </sharedItems>
    </cacheField>
    <cacheField name="Status" numFmtId="0">
      <sharedItems count="4">
        <s v="Present"/>
        <s v="WFH"/>
        <s v="Leave"/>
        <s v="Absent"/>
      </sharedItems>
    </cacheField>
    <cacheField name="Work Hrs" numFmtId="0">
      <sharedItems containsSemiMixedTypes="0" containsString="0" containsNumber="1" minValue="-149.80000000000001" maxValue="10"/>
    </cacheField>
    <cacheField name="OT" numFmtId="0">
      <sharedItems containsSemiMixedTypes="0" containsString="0" containsNumber="1" minValue="0" maxValue="2"/>
    </cacheField>
    <cacheField name="Tasks Done" numFmtId="0">
      <sharedItems containsSemiMixedTypes="0" containsString="0" containsNumber="1" minValue="-148.4" maxValue="15"/>
    </cacheField>
    <cacheField name="Perf Score" numFmtId="0">
      <sharedItems containsSemiMixedTypes="0" containsString="0" containsNumber="1" minValue="-130.19999999999999" maxValue="9"/>
    </cacheField>
    <cacheField name="Target" numFmtId="0">
      <sharedItems containsSemiMixedTypes="0" containsString="0" containsNumber="1" minValue="5" maxValue="12"/>
    </cacheField>
    <cacheField name="Achieve %" numFmtId="0">
      <sharedItems containsSemiMixedTypes="0" containsString="0" containsNumber="1" minValue="-17.255813953488392" maxValue="1.25"/>
    </cacheField>
    <cacheField name="Salary" numFmtId="0">
      <sharedItems containsSemiMixedTypes="0" containsString="0" containsNumber="1" minValue="-188500" maxValue="75000"/>
    </cacheField>
    <cacheField name="Bonus?" numFmtId="0">
      <sharedItems/>
    </cacheField>
    <cacheField name="Rating" numFmtId="0">
      <sharedItems containsSemiMixedTypes="0" containsString="0" containsNumber="1" minValue="-54.8" maxValue="5"/>
    </cacheField>
    <cacheField name="Remarks" numFmtId="0">
      <sharedItems/>
    </cacheField>
  </cacheFields>
  <extLst>
    <ext xmlns:x14="http://schemas.microsoft.com/office/spreadsheetml/2009/9/main" uri="{725AE2AE-9491-48be-B2B4-4EB974FC3084}">
      <x14:pivotCacheDefinition pivotCacheId="1915890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s v="Rajesh Kumar"/>
    <x v="0"/>
    <s v="Associate"/>
    <x v="0"/>
    <d v="2026-04-01T00:00:00"/>
    <x v="0"/>
    <x v="0"/>
    <n v="9"/>
    <n v="1"/>
    <n v="12"/>
    <n v="8"/>
    <n v="10"/>
    <n v="1.2"/>
    <n v="45000"/>
    <s v="Yes"/>
    <n v="4"/>
    <s v="Top Performer"/>
  </r>
  <r>
    <s v="E002"/>
    <s v="Sarah Jones"/>
    <x v="1"/>
    <s v="Developer"/>
    <x v="1"/>
    <d v="2026-04-01T00:00:00"/>
    <x v="1"/>
    <x v="1"/>
    <n v="8"/>
    <n v="0"/>
    <n v="7"/>
    <n v="9"/>
    <n v="8"/>
    <n v="0.875"/>
    <n v="75000"/>
    <s v="No"/>
    <n v="5"/>
    <s v="Top Performer"/>
  </r>
  <r>
    <s v="E003"/>
    <s v="Aman Verma"/>
    <x v="2"/>
    <s v="Recruiter"/>
    <x v="2"/>
    <d v="2026-04-01T00:00:00"/>
    <x v="2"/>
    <x v="2"/>
    <n v="0"/>
    <n v="0"/>
    <n v="0"/>
    <n v="1"/>
    <n v="5"/>
    <n v="0"/>
    <n v="50000"/>
    <s v="No"/>
    <n v="2"/>
    <s v="Needs Training"/>
  </r>
  <r>
    <s v="E004"/>
    <s v="Priya Singh"/>
    <x v="0"/>
    <s v="Lead"/>
    <x v="0"/>
    <d v="2026-04-01T00:00:00"/>
    <x v="3"/>
    <x v="0"/>
    <n v="10"/>
    <n v="2"/>
    <n v="15"/>
    <n v="9"/>
    <n v="12"/>
    <n v="1.25"/>
    <n v="60000"/>
    <s v="Yes"/>
    <n v="5"/>
    <s v="Top Performer"/>
  </r>
  <r>
    <s v="E005"/>
    <s v="Kevin Pillai"/>
    <x v="1"/>
    <s v="Support"/>
    <x v="1"/>
    <d v="2026-04-01T00:00:00"/>
    <x v="4"/>
    <x v="3"/>
    <n v="0"/>
    <n v="0"/>
    <n v="0"/>
    <n v="1"/>
    <n v="8"/>
    <n v="0"/>
    <n v="40000"/>
    <s v="No"/>
    <n v="1"/>
    <s v="Needs Training"/>
  </r>
  <r>
    <s v="E006"/>
    <s v="Rajesh Kumar"/>
    <x v="0"/>
    <s v="Associate"/>
    <x v="0"/>
    <d v="2026-04-01T00:00:00"/>
    <x v="0"/>
    <x v="0"/>
    <n v="0.6"/>
    <n v="0.6"/>
    <n v="2"/>
    <n v="1.4"/>
    <n v="8.6"/>
    <n v="0.23255813953488372"/>
    <n v="46500"/>
    <s v="No"/>
    <n v="1.6"/>
    <s v="Needs Training"/>
  </r>
  <r>
    <s v="E007"/>
    <s v="Sarah Jones"/>
    <x v="1"/>
    <s v="Developer"/>
    <x v="1"/>
    <d v="2026-04-01T00:00:00"/>
    <x v="1"/>
    <x v="1"/>
    <n v="-1"/>
    <n v="0.6"/>
    <n v="0.4"/>
    <n v="0"/>
    <n v="8.6"/>
    <n v="4.651162790697675E-2"/>
    <n v="44000"/>
    <s v="No"/>
    <n v="1"/>
    <s v="Needs Training"/>
  </r>
  <r>
    <s v="E008"/>
    <s v="Aman Verma"/>
    <x v="2"/>
    <s v="Recruiter"/>
    <x v="2"/>
    <d v="2026-04-01T00:00:00"/>
    <x v="2"/>
    <x v="2"/>
    <n v="-2.6"/>
    <n v="0.6"/>
    <n v="-1.2"/>
    <n v="-1.4"/>
    <n v="8.6"/>
    <n v="-0.13953488372093023"/>
    <n v="41500"/>
    <s v="No"/>
    <n v="0.39999999999999902"/>
    <s v="Needs Training"/>
  </r>
  <r>
    <s v="E009"/>
    <s v="Priya Singh"/>
    <x v="0"/>
    <s v="Lead"/>
    <x v="0"/>
    <d v="2026-04-01T00:00:00"/>
    <x v="3"/>
    <x v="0"/>
    <n v="-4.2"/>
    <n v="0.6"/>
    <n v="-2.8"/>
    <n v="-2.8"/>
    <n v="8.6"/>
    <n v="-0.32558139534883718"/>
    <n v="39000"/>
    <s v="No"/>
    <n v="-0.2"/>
    <s v="Needs Training"/>
  </r>
  <r>
    <s v="E010"/>
    <s v="Kevin Pillai"/>
    <x v="1"/>
    <s v="Support"/>
    <x v="1"/>
    <d v="2026-04-01T00:00:00"/>
    <x v="4"/>
    <x v="3"/>
    <n v="-5.8"/>
    <n v="0.6"/>
    <n v="-4.4000000000000004"/>
    <n v="-4.2"/>
    <n v="8.6"/>
    <n v="-0.51162790697674421"/>
    <n v="36500"/>
    <s v="No"/>
    <n v="-0.80000000000000104"/>
    <s v="Needs Training"/>
  </r>
  <r>
    <s v="E011"/>
    <s v="Rajesh Kumar"/>
    <x v="0"/>
    <s v="Associate"/>
    <x v="0"/>
    <d v="2026-04-01T00:00:00"/>
    <x v="0"/>
    <x v="3"/>
    <n v="-7.4"/>
    <n v="0.6"/>
    <n v="-6"/>
    <n v="-5.6"/>
    <n v="8.6"/>
    <n v="-0.69767441860465118"/>
    <n v="34000"/>
    <s v="No"/>
    <n v="-1.4"/>
    <s v="Needs Training"/>
  </r>
  <r>
    <s v="E012"/>
    <s v="Sarah Jones"/>
    <x v="1"/>
    <s v="Developer"/>
    <x v="1"/>
    <d v="2026-04-01T00:00:00"/>
    <x v="1"/>
    <x v="1"/>
    <n v="-9"/>
    <n v="0.6"/>
    <n v="-7.6"/>
    <n v="-7"/>
    <n v="8.6"/>
    <n v="-0.88372093023255816"/>
    <n v="31500"/>
    <s v="No"/>
    <n v="-2"/>
    <s v="Needs Training"/>
  </r>
  <r>
    <s v="E013"/>
    <s v="Aman Verma"/>
    <x v="2"/>
    <s v="Recruiter"/>
    <x v="2"/>
    <d v="2026-04-01T00:00:00"/>
    <x v="2"/>
    <x v="2"/>
    <n v="-10.6"/>
    <n v="0.6"/>
    <n v="-9.1999999999999993"/>
    <n v="-8.4"/>
    <n v="8.6"/>
    <n v="-1.069767441860465"/>
    <n v="29000"/>
    <s v="No"/>
    <n v="-2.6"/>
    <s v="Needs Training"/>
  </r>
  <r>
    <s v="E014"/>
    <s v="Priya Singh"/>
    <x v="0"/>
    <s v="Lead"/>
    <x v="0"/>
    <d v="2026-04-01T00:00:00"/>
    <x v="3"/>
    <x v="0"/>
    <n v="-12.2"/>
    <n v="0.6"/>
    <n v="-10.8"/>
    <n v="-9.8000000000000007"/>
    <n v="8.6"/>
    <n v="-1.2558139534883723"/>
    <n v="26500"/>
    <s v="No"/>
    <n v="-3.2"/>
    <s v="Needs Training"/>
  </r>
  <r>
    <s v="E015"/>
    <s v="Kevin Pillai"/>
    <x v="1"/>
    <s v="Support"/>
    <x v="1"/>
    <d v="2026-04-01T00:00:00"/>
    <x v="4"/>
    <x v="3"/>
    <n v="-13.8"/>
    <n v="0.6"/>
    <n v="-12.4"/>
    <n v="-11.2"/>
    <n v="8.6"/>
    <n v="-1.4418604651162792"/>
    <n v="24000"/>
    <s v="No"/>
    <n v="-3.8"/>
    <s v="Needs Training"/>
  </r>
  <r>
    <s v="E016"/>
    <s v="Rajesh Kumar"/>
    <x v="0"/>
    <s v="Associate"/>
    <x v="0"/>
    <d v="2026-04-01T00:00:00"/>
    <x v="0"/>
    <x v="0"/>
    <n v="-15.4"/>
    <n v="0.6"/>
    <n v="-14"/>
    <n v="-12.6"/>
    <n v="8.6"/>
    <n v="-1.6279069767441861"/>
    <n v="21500"/>
    <s v="No"/>
    <n v="-4.3999999999999897"/>
    <s v="Needs Training"/>
  </r>
  <r>
    <s v="E017"/>
    <s v="Sarah Jones"/>
    <x v="1"/>
    <s v="Developer"/>
    <x v="1"/>
    <d v="2026-04-01T00:00:00"/>
    <x v="1"/>
    <x v="1"/>
    <n v="-17"/>
    <n v="0.6"/>
    <n v="-15.6"/>
    <n v="-14"/>
    <n v="8.6"/>
    <n v="-1.8139534883720931"/>
    <n v="19000"/>
    <s v="No"/>
    <n v="-4.9999999999999902"/>
    <s v="Needs Training"/>
  </r>
  <r>
    <s v="E018"/>
    <s v="Aman Verma"/>
    <x v="2"/>
    <s v="Recruiter"/>
    <x v="2"/>
    <d v="2026-04-01T00:00:00"/>
    <x v="2"/>
    <x v="2"/>
    <n v="-18.600000000000001"/>
    <n v="0.6"/>
    <n v="-17.2"/>
    <n v="-15.4"/>
    <n v="8.6"/>
    <n v="-2"/>
    <n v="16500"/>
    <s v="No"/>
    <n v="-5.6"/>
    <s v="Needs Training"/>
  </r>
  <r>
    <s v="E019"/>
    <s v="Priya Singh"/>
    <x v="0"/>
    <s v="Lead"/>
    <x v="0"/>
    <d v="2026-04-01T00:00:00"/>
    <x v="3"/>
    <x v="0"/>
    <n v="-20.2"/>
    <n v="0.59999999999999898"/>
    <n v="-18.8"/>
    <n v="-16.8"/>
    <n v="8.6"/>
    <n v="-2.1860465116279073"/>
    <n v="14000"/>
    <s v="No"/>
    <n v="-6.2"/>
    <s v="Needs Training"/>
  </r>
  <r>
    <s v="E020"/>
    <s v="Kevin Pillai"/>
    <x v="1"/>
    <s v="Support"/>
    <x v="1"/>
    <d v="2026-04-01T00:00:00"/>
    <x v="4"/>
    <x v="3"/>
    <n v="-21.8"/>
    <n v="0.59999999999999898"/>
    <n v="-20.399999999999999"/>
    <n v="-18.2"/>
    <n v="8.6"/>
    <n v="-2.3720930232558137"/>
    <n v="11500"/>
    <s v="No"/>
    <n v="-6.8"/>
    <s v="Needs Training"/>
  </r>
  <r>
    <s v="E021"/>
    <s v="Rajesh Kumar"/>
    <x v="0"/>
    <s v="Associate"/>
    <x v="0"/>
    <d v="2026-04-01T00:00:00"/>
    <x v="0"/>
    <x v="0"/>
    <n v="-23.4"/>
    <n v="0.59999999999999898"/>
    <n v="-22"/>
    <n v="-19.600000000000001"/>
    <n v="8.6"/>
    <n v="-2.558139534883721"/>
    <n v="8999.9999999999909"/>
    <s v="No"/>
    <n v="-7.4"/>
    <s v="Needs Training"/>
  </r>
  <r>
    <s v="E022"/>
    <s v="Sarah Jones"/>
    <x v="1"/>
    <s v="Developer"/>
    <x v="1"/>
    <d v="2026-04-01T00:00:00"/>
    <x v="1"/>
    <x v="1"/>
    <n v="-25"/>
    <n v="0.59999999999999898"/>
    <n v="-23.6"/>
    <n v="-21"/>
    <n v="8.6"/>
    <n v="-2.7441860465116283"/>
    <n v="6499.99999999999"/>
    <s v="No"/>
    <n v="-8"/>
    <s v="Needs Training"/>
  </r>
  <r>
    <s v="E023"/>
    <s v="Aman Verma"/>
    <x v="2"/>
    <s v="Recruiter"/>
    <x v="2"/>
    <d v="2026-04-01T00:00:00"/>
    <x v="2"/>
    <x v="2"/>
    <n v="-26.6"/>
    <n v="0.59999999999999898"/>
    <n v="-25.2"/>
    <n v="-22.4"/>
    <n v="8.6"/>
    <n v="-2.9302325581395348"/>
    <n v="3999.99999999999"/>
    <s v="No"/>
    <n v="-8.6"/>
    <s v="Needs Training"/>
  </r>
  <r>
    <s v="E024"/>
    <s v="Priya Singh"/>
    <x v="0"/>
    <s v="Lead"/>
    <x v="0"/>
    <d v="2026-04-01T00:00:00"/>
    <x v="3"/>
    <x v="0"/>
    <n v="-28.2"/>
    <n v="0.59999999999999898"/>
    <n v="-26.8"/>
    <n v="-23.8"/>
    <n v="8.6"/>
    <n v="-3.1162790697674421"/>
    <n v="1499.99999999999"/>
    <s v="No"/>
    <n v="-9.1999999999999993"/>
    <s v="Needs Training"/>
  </r>
  <r>
    <s v="E025"/>
    <s v="Kevin Pillai"/>
    <x v="1"/>
    <s v="Support"/>
    <x v="1"/>
    <d v="2026-04-01T00:00:00"/>
    <x v="4"/>
    <x v="3"/>
    <n v="-29.8"/>
    <n v="0.59999999999999898"/>
    <n v="-28.4"/>
    <n v="-25.2"/>
    <n v="8.6"/>
    <n v="-3.3023255813953489"/>
    <n v="-1000.00000000001"/>
    <s v="No"/>
    <n v="-9.8000000000000007"/>
    <s v="Needs Training"/>
  </r>
  <r>
    <s v="E026"/>
    <s v="Rajesh Kumar"/>
    <x v="0"/>
    <s v="Associate"/>
    <x v="0"/>
    <d v="2026-04-01T00:00:00"/>
    <x v="0"/>
    <x v="0"/>
    <n v="-31.4"/>
    <n v="0.59999999999999898"/>
    <n v="-30"/>
    <n v="-26.6"/>
    <n v="8.6"/>
    <n v="-3.4883720930232558"/>
    <n v="-3500.00000000001"/>
    <s v="No"/>
    <n v="-10.4"/>
    <s v="Needs Training"/>
  </r>
  <r>
    <s v="E027"/>
    <s v="Sarah Jones"/>
    <x v="1"/>
    <s v="Developer"/>
    <x v="1"/>
    <d v="2026-04-01T00:00:00"/>
    <x v="1"/>
    <x v="1"/>
    <n v="-33"/>
    <n v="0.59999999999999898"/>
    <n v="-31.6"/>
    <n v="-28"/>
    <n v="8.6"/>
    <n v="-3.6744186046511631"/>
    <n v="-6000.00000000001"/>
    <s v="No"/>
    <n v="-11"/>
    <s v="Needs Training"/>
  </r>
  <r>
    <s v="E028"/>
    <s v="Aman Verma"/>
    <x v="2"/>
    <s v="Recruiter"/>
    <x v="2"/>
    <d v="2026-04-01T00:00:00"/>
    <x v="2"/>
    <x v="2"/>
    <n v="-34.6"/>
    <n v="0.59999999999999898"/>
    <n v="-33.200000000000003"/>
    <n v="-29.4"/>
    <n v="8.6"/>
    <n v="-3.8604651162790704"/>
    <n v="-8500.0000000000091"/>
    <s v="No"/>
    <n v="-11.6"/>
    <s v="Needs Training"/>
  </r>
  <r>
    <s v="E029"/>
    <s v="Priya Singh"/>
    <x v="0"/>
    <s v="Lead"/>
    <x v="0"/>
    <d v="2026-04-01T00:00:00"/>
    <x v="3"/>
    <x v="0"/>
    <n v="-36.200000000000003"/>
    <n v="0.59999999999999898"/>
    <n v="-34.799999999999997"/>
    <n v="-30.8"/>
    <n v="8.6"/>
    <n v="-4.0465116279069768"/>
    <n v="-10999.9999999999"/>
    <s v="No"/>
    <n v="-12.2"/>
    <s v="Needs Training"/>
  </r>
  <r>
    <s v="E030"/>
    <s v="Kevin Pillai"/>
    <x v="1"/>
    <s v="Support"/>
    <x v="1"/>
    <d v="2026-04-01T00:00:00"/>
    <x v="4"/>
    <x v="3"/>
    <n v="-37.799999999999997"/>
    <n v="0.59999999999999898"/>
    <n v="-36.4"/>
    <n v="-32.200000000000003"/>
    <n v="8.6"/>
    <n v="-4.2325581395348841"/>
    <n v="-13499.9999999999"/>
    <s v="No"/>
    <n v="-12.8"/>
    <s v="Needs Training"/>
  </r>
  <r>
    <s v="E031"/>
    <s v="Rajesh Kumar"/>
    <x v="0"/>
    <s v="Associate"/>
    <x v="0"/>
    <d v="2026-04-01T00:00:00"/>
    <x v="0"/>
    <x v="0"/>
    <n v="-39.4"/>
    <n v="0.59999999999999898"/>
    <n v="-38"/>
    <n v="-33.6"/>
    <n v="8.6"/>
    <n v="-4.4186046511627906"/>
    <n v="-15999.9999999999"/>
    <s v="No"/>
    <n v="-13.4"/>
    <s v="Needs Training"/>
  </r>
  <r>
    <s v="E032"/>
    <s v="Sarah Jones"/>
    <x v="1"/>
    <s v="Developer"/>
    <x v="1"/>
    <d v="2026-04-01T00:00:00"/>
    <x v="1"/>
    <x v="1"/>
    <n v="-41"/>
    <n v="0.59999999999999898"/>
    <n v="-39.6"/>
    <n v="-35"/>
    <n v="8.6"/>
    <n v="-4.6046511627906979"/>
    <n v="-18499.999999999902"/>
    <s v="No"/>
    <n v="-14"/>
    <s v="Needs Training"/>
  </r>
  <r>
    <s v="E033"/>
    <s v="Aman Verma"/>
    <x v="2"/>
    <s v="Recruiter"/>
    <x v="2"/>
    <d v="2026-04-01T00:00:00"/>
    <x v="2"/>
    <x v="2"/>
    <n v="-42.6"/>
    <n v="0.59999999999999898"/>
    <n v="-41.2"/>
    <n v="-36.4"/>
    <n v="8.6"/>
    <n v="-4.7906976744186052"/>
    <n v="-20999.999999999902"/>
    <s v="No"/>
    <n v="-14.6"/>
    <s v="Needs Training"/>
  </r>
  <r>
    <s v="E034"/>
    <s v="Priya Singh"/>
    <x v="0"/>
    <s v="Lead"/>
    <x v="0"/>
    <d v="2026-04-01T00:00:00"/>
    <x v="3"/>
    <x v="0"/>
    <n v="-44.2"/>
    <n v="0.59999999999999898"/>
    <n v="-42.8"/>
    <n v="-37.799999999999997"/>
    <n v="8.6"/>
    <n v="-4.9767441860465116"/>
    <n v="-23499.999999999902"/>
    <s v="No"/>
    <n v="-15.2"/>
    <s v="Needs Training"/>
  </r>
  <r>
    <s v="E035"/>
    <s v="Kevin Pillai"/>
    <x v="1"/>
    <s v="Support"/>
    <x v="1"/>
    <d v="2026-04-01T00:00:00"/>
    <x v="4"/>
    <x v="3"/>
    <n v="-45.8"/>
    <n v="0.59999999999999898"/>
    <n v="-44.4"/>
    <n v="-39.200000000000003"/>
    <n v="8.6"/>
    <n v="-5.1627906976744189"/>
    <n v="-25999.999999999902"/>
    <s v="No"/>
    <n v="-15.8"/>
    <s v="Needs Training"/>
  </r>
  <r>
    <s v="E036"/>
    <s v="Rajesh Kumar"/>
    <x v="0"/>
    <s v="Associate"/>
    <x v="0"/>
    <d v="2026-04-01T00:00:00"/>
    <x v="0"/>
    <x v="0"/>
    <n v="-47.4"/>
    <n v="0.59999999999999898"/>
    <n v="-46"/>
    <n v="-40.6"/>
    <n v="8.6"/>
    <n v="-5.3488372093023262"/>
    <n v="-28499.999999999902"/>
    <s v="No"/>
    <n v="-16.399999999999999"/>
    <s v="Needs Training"/>
  </r>
  <r>
    <s v="E037"/>
    <s v="Sarah Jones"/>
    <x v="1"/>
    <s v="Developer"/>
    <x v="1"/>
    <d v="2026-04-01T00:00:00"/>
    <x v="1"/>
    <x v="1"/>
    <n v="-49"/>
    <n v="0.59999999999999898"/>
    <n v="-47.6"/>
    <n v="-42"/>
    <n v="8.6"/>
    <n v="-5.5348837209302326"/>
    <n v="-30999.999999999902"/>
    <s v="No"/>
    <n v="-17"/>
    <s v="Needs Training"/>
  </r>
  <r>
    <s v="E038"/>
    <s v="Aman Verma"/>
    <x v="2"/>
    <s v="Recruiter"/>
    <x v="2"/>
    <d v="2026-04-01T00:00:00"/>
    <x v="2"/>
    <x v="2"/>
    <n v="-50.6"/>
    <n v="0.59999999999999898"/>
    <n v="-49.2"/>
    <n v="-43.4"/>
    <n v="8.6"/>
    <n v="-5.7209302325581399"/>
    <n v="-33499.999999999898"/>
    <s v="No"/>
    <n v="-17.600000000000001"/>
    <s v="Needs Training"/>
  </r>
  <r>
    <s v="E039"/>
    <s v="Priya Singh"/>
    <x v="0"/>
    <s v="Lead"/>
    <x v="0"/>
    <d v="2026-04-01T00:00:00"/>
    <x v="3"/>
    <x v="0"/>
    <n v="-52.2"/>
    <n v="0.59999999999999898"/>
    <n v="-50.8"/>
    <n v="-44.8"/>
    <n v="8.6"/>
    <n v="-5.9069767441860463"/>
    <n v="-35999.999999999898"/>
    <s v="No"/>
    <n v="-18.2"/>
    <s v="Needs Training"/>
  </r>
  <r>
    <s v="E040"/>
    <s v="Kevin Pillai"/>
    <x v="1"/>
    <s v="Support"/>
    <x v="1"/>
    <d v="2026-04-01T00:00:00"/>
    <x v="4"/>
    <x v="3"/>
    <n v="-53.8"/>
    <n v="0.59999999999999898"/>
    <n v="-52.4"/>
    <n v="-46.2"/>
    <n v="8.6"/>
    <n v="-6.0930232558139537"/>
    <n v="-38499.999999999898"/>
    <s v="No"/>
    <n v="-18.8"/>
    <s v="Needs Training"/>
  </r>
  <r>
    <s v="E041"/>
    <s v="Rajesh Kumar"/>
    <x v="0"/>
    <s v="Associate"/>
    <x v="0"/>
    <d v="2026-04-01T00:00:00"/>
    <x v="0"/>
    <x v="0"/>
    <n v="-55.4"/>
    <n v="0.59999999999999898"/>
    <n v="-54"/>
    <n v="-47.6"/>
    <n v="8.6"/>
    <n v="-6.279069767441861"/>
    <n v="-40999.999999999898"/>
    <s v="No"/>
    <n v="-19.399999999999999"/>
    <s v="Needs Training"/>
  </r>
  <r>
    <s v="E042"/>
    <s v="Sarah Jones"/>
    <x v="1"/>
    <s v="Developer"/>
    <x v="1"/>
    <d v="2026-04-01T00:00:00"/>
    <x v="1"/>
    <x v="1"/>
    <n v="-57"/>
    <n v="0.59999999999999898"/>
    <n v="-55.6"/>
    <n v="-49"/>
    <n v="8.6"/>
    <n v="-6.4651162790697683"/>
    <n v="-43500"/>
    <s v="No"/>
    <n v="-20"/>
    <s v="Needs Training"/>
  </r>
  <r>
    <s v="E043"/>
    <s v="Aman Verma"/>
    <x v="2"/>
    <s v="Recruiter"/>
    <x v="2"/>
    <d v="2026-04-01T00:00:00"/>
    <x v="2"/>
    <x v="2"/>
    <n v="-58.6"/>
    <n v="0.59999999999999898"/>
    <n v="-57.2"/>
    <n v="-50.4"/>
    <n v="8.6"/>
    <n v="-6.6511627906976747"/>
    <n v="-46000"/>
    <s v="No"/>
    <n v="-20.6"/>
    <s v="Needs Training"/>
  </r>
  <r>
    <s v="E044"/>
    <s v="Priya Singh"/>
    <x v="0"/>
    <s v="Lead"/>
    <x v="0"/>
    <d v="2026-04-01T00:00:00"/>
    <x v="3"/>
    <x v="0"/>
    <n v="-60.2"/>
    <n v="0.59999999999999898"/>
    <n v="-58.8"/>
    <n v="-51.8"/>
    <n v="8.6"/>
    <n v="-6.8372093023255811"/>
    <n v="-48500"/>
    <s v="No"/>
    <n v="-21.2"/>
    <s v="Needs Training"/>
  </r>
  <r>
    <s v="E045"/>
    <s v="Kevin Pillai"/>
    <x v="1"/>
    <s v="Support"/>
    <x v="1"/>
    <d v="2026-04-01T00:00:00"/>
    <x v="4"/>
    <x v="3"/>
    <n v="-61.8"/>
    <n v="0.59999999999999898"/>
    <n v="-60.4"/>
    <n v="-53.2"/>
    <n v="8.6"/>
    <n v="-7.0232558139534884"/>
    <n v="-51000"/>
    <s v="No"/>
    <n v="-21.8"/>
    <s v="Needs Training"/>
  </r>
  <r>
    <s v="E046"/>
    <s v="Rajesh Kumar"/>
    <x v="0"/>
    <s v="Associate"/>
    <x v="0"/>
    <d v="2026-04-01T00:00:00"/>
    <x v="0"/>
    <x v="0"/>
    <n v="-63.4"/>
    <n v="0.59999999999999898"/>
    <n v="-62"/>
    <n v="-54.6"/>
    <n v="8.6"/>
    <n v="-7.2093023255813957"/>
    <n v="-53500"/>
    <s v="No"/>
    <n v="-22.4"/>
    <s v="Needs Training"/>
  </r>
  <r>
    <s v="E047"/>
    <s v="Sarah Jones"/>
    <x v="1"/>
    <s v="Developer"/>
    <x v="1"/>
    <d v="2026-04-01T00:00:00"/>
    <x v="1"/>
    <x v="1"/>
    <n v="-65"/>
    <n v="0.59999999999999798"/>
    <n v="-63.6"/>
    <n v="-56"/>
    <n v="8.6"/>
    <n v="-7.395348837209303"/>
    <n v="-56000"/>
    <s v="No"/>
    <n v="-23"/>
    <s v="Needs Training"/>
  </r>
  <r>
    <s v="E048"/>
    <s v="Aman Verma"/>
    <x v="2"/>
    <s v="Recruiter"/>
    <x v="2"/>
    <d v="2026-04-01T00:00:00"/>
    <x v="2"/>
    <x v="2"/>
    <n v="-66.599999999999994"/>
    <n v="0.59999999999999798"/>
    <n v="-65.2"/>
    <n v="-57.4"/>
    <n v="8.6"/>
    <n v="-7.5813953488372103"/>
    <n v="-58500"/>
    <s v="No"/>
    <n v="-23.6"/>
    <s v="Needs Training"/>
  </r>
  <r>
    <s v="E049"/>
    <s v="Priya Singh"/>
    <x v="0"/>
    <s v="Lead"/>
    <x v="0"/>
    <d v="2026-04-01T00:00:00"/>
    <x v="3"/>
    <x v="0"/>
    <n v="-68.2"/>
    <n v="0.59999999999999798"/>
    <n v="-66.8"/>
    <n v="-58.8"/>
    <n v="8.6"/>
    <n v="-7.7674418604651159"/>
    <n v="-61000"/>
    <s v="No"/>
    <n v="-24.2"/>
    <s v="Needs Training"/>
  </r>
  <r>
    <s v="E050"/>
    <s v="Kevin Pillai"/>
    <x v="1"/>
    <s v="Support"/>
    <x v="1"/>
    <d v="2026-04-01T00:00:00"/>
    <x v="4"/>
    <x v="3"/>
    <n v="-69.8"/>
    <n v="0.59999999999999798"/>
    <n v="-68.400000000000006"/>
    <n v="-60.2"/>
    <n v="8.6"/>
    <n v="-7.9534883720930241"/>
    <n v="-63500"/>
    <s v="No"/>
    <n v="-24.8"/>
    <s v="Needs Training"/>
  </r>
  <r>
    <s v="E051"/>
    <s v="Rajesh Kumar"/>
    <x v="0"/>
    <s v="Associate"/>
    <x v="0"/>
    <d v="2026-04-01T00:00:00"/>
    <x v="0"/>
    <x v="0"/>
    <n v="-71.400000000000006"/>
    <n v="0.59999999999999798"/>
    <n v="-70"/>
    <n v="-61.6"/>
    <n v="8.6"/>
    <n v="-8.1395348837209305"/>
    <n v="-66000"/>
    <s v="No"/>
    <n v="-25.4"/>
    <s v="Needs Training"/>
  </r>
  <r>
    <s v="E052"/>
    <s v="Sarah Jones"/>
    <x v="1"/>
    <s v="Developer"/>
    <x v="1"/>
    <d v="2026-04-01T00:00:00"/>
    <x v="1"/>
    <x v="1"/>
    <n v="-73"/>
    <n v="0.59999999999999798"/>
    <n v="-71.599999999999994"/>
    <n v="-63"/>
    <n v="8.6"/>
    <n v="-8.325581395348836"/>
    <n v="-68500"/>
    <s v="No"/>
    <n v="-26"/>
    <s v="Needs Training"/>
  </r>
  <r>
    <s v="E053"/>
    <s v="Aman Verma"/>
    <x v="2"/>
    <s v="Recruiter"/>
    <x v="2"/>
    <d v="2026-04-01T00:00:00"/>
    <x v="2"/>
    <x v="2"/>
    <n v="-74.599999999999994"/>
    <n v="0.59999999999999798"/>
    <n v="-73.2"/>
    <n v="-64.400000000000006"/>
    <n v="8.6"/>
    <n v="-8.5116279069767451"/>
    <n v="-71000"/>
    <s v="No"/>
    <n v="-26.6"/>
    <s v="Needs Training"/>
  </r>
  <r>
    <s v="E054"/>
    <s v="Priya Singh"/>
    <x v="0"/>
    <s v="Lead"/>
    <x v="0"/>
    <d v="2026-04-01T00:00:00"/>
    <x v="3"/>
    <x v="0"/>
    <n v="-76.2"/>
    <n v="0.59999999999999798"/>
    <n v="-74.8"/>
    <n v="-65.8"/>
    <n v="8.6"/>
    <n v="-8.6976744186046506"/>
    <n v="-73500"/>
    <s v="No"/>
    <n v="-27.2"/>
    <s v="Needs Training"/>
  </r>
  <r>
    <s v="E055"/>
    <s v="Kevin Pillai"/>
    <x v="1"/>
    <s v="Support"/>
    <x v="1"/>
    <d v="2026-04-01T00:00:00"/>
    <x v="4"/>
    <x v="3"/>
    <n v="-77.8"/>
    <n v="0.59999999999999798"/>
    <n v="-76.400000000000006"/>
    <n v="-67.2"/>
    <n v="8.6"/>
    <n v="-8.8837209302325597"/>
    <n v="-76000"/>
    <s v="No"/>
    <n v="-27.8"/>
    <s v="Needs Training"/>
  </r>
  <r>
    <s v="E056"/>
    <s v="Rajesh Kumar"/>
    <x v="0"/>
    <s v="Associate"/>
    <x v="0"/>
    <d v="2026-04-01T00:00:00"/>
    <x v="0"/>
    <x v="0"/>
    <n v="-79.400000000000006"/>
    <n v="0.59999999999999798"/>
    <n v="-78"/>
    <n v="-68.599999999999994"/>
    <n v="8.6"/>
    <n v="-9.0697674418604652"/>
    <n v="-78500"/>
    <s v="No"/>
    <n v="-28.4"/>
    <s v="Needs Training"/>
  </r>
  <r>
    <s v="E057"/>
    <s v="Sarah Jones"/>
    <x v="1"/>
    <s v="Developer"/>
    <x v="1"/>
    <d v="2026-04-01T00:00:00"/>
    <x v="1"/>
    <x v="1"/>
    <n v="-81"/>
    <n v="0.59999999999999798"/>
    <n v="-79.599999999999994"/>
    <n v="-70"/>
    <n v="8.6"/>
    <n v="-9.2558139534883725"/>
    <n v="-81000"/>
    <s v="No"/>
    <n v="-29"/>
    <s v="Needs Training"/>
  </r>
  <r>
    <s v="E058"/>
    <s v="Aman Verma"/>
    <x v="2"/>
    <s v="Recruiter"/>
    <x v="2"/>
    <d v="2026-04-01T00:00:00"/>
    <x v="2"/>
    <x v="2"/>
    <n v="-82.6"/>
    <n v="0.59999999999999798"/>
    <n v="-81.2"/>
    <n v="-71.400000000000006"/>
    <n v="8.6"/>
    <n v="-9.4418604651162799"/>
    <n v="-83500"/>
    <s v="No"/>
    <n v="-29.6"/>
    <s v="Needs Training"/>
  </r>
  <r>
    <s v="E059"/>
    <s v="Priya Singh"/>
    <x v="0"/>
    <s v="Lead"/>
    <x v="0"/>
    <d v="2026-04-01T00:00:00"/>
    <x v="3"/>
    <x v="0"/>
    <n v="-84.2"/>
    <n v="0.59999999999999798"/>
    <n v="-82.8"/>
    <n v="-72.8"/>
    <n v="8.6"/>
    <n v="-9.6279069767441854"/>
    <n v="-86000"/>
    <s v="No"/>
    <n v="-30.2"/>
    <s v="Needs Training"/>
  </r>
  <r>
    <s v="E060"/>
    <s v="Kevin Pillai"/>
    <x v="1"/>
    <s v="Support"/>
    <x v="1"/>
    <d v="2026-04-01T00:00:00"/>
    <x v="4"/>
    <x v="3"/>
    <n v="-85.8"/>
    <n v="0.59999999999999798"/>
    <n v="-84.4"/>
    <n v="-74.2"/>
    <n v="8.6"/>
    <n v="-9.8139534883720945"/>
    <n v="-88500"/>
    <s v="No"/>
    <n v="-30.8"/>
    <s v="Needs Training"/>
  </r>
  <r>
    <s v="E061"/>
    <s v="Rajesh Kumar"/>
    <x v="0"/>
    <s v="Associate"/>
    <x v="0"/>
    <d v="2026-04-01T00:00:00"/>
    <x v="0"/>
    <x v="0"/>
    <n v="-87.4"/>
    <n v="0.59999999999999798"/>
    <n v="-86"/>
    <n v="-75.599999999999994"/>
    <n v="8.6"/>
    <n v="-10"/>
    <n v="-91000"/>
    <s v="No"/>
    <n v="-31.4"/>
    <s v="Needs Training"/>
  </r>
  <r>
    <s v="E062"/>
    <s v="Sarah Jones"/>
    <x v="1"/>
    <s v="Developer"/>
    <x v="1"/>
    <d v="2026-04-01T00:00:00"/>
    <x v="1"/>
    <x v="1"/>
    <n v="-89"/>
    <n v="0.59999999999999798"/>
    <n v="-87.6"/>
    <n v="-77"/>
    <n v="8.6"/>
    <n v="-10.186046511627907"/>
    <n v="-93500"/>
    <s v="No"/>
    <n v="-32"/>
    <s v="Needs Training"/>
  </r>
  <r>
    <s v="E063"/>
    <s v="Aman Verma"/>
    <x v="2"/>
    <s v="Recruiter"/>
    <x v="2"/>
    <d v="2026-04-01T00:00:00"/>
    <x v="2"/>
    <x v="2"/>
    <n v="-90.6"/>
    <n v="0.59999999999999798"/>
    <n v="-89.2"/>
    <n v="-78.400000000000006"/>
    <n v="8.6"/>
    <n v="-10.372093023255815"/>
    <n v="-96000"/>
    <s v="No"/>
    <n v="-32.6"/>
    <s v="Needs Training"/>
  </r>
  <r>
    <s v="E064"/>
    <s v="Priya Singh"/>
    <x v="0"/>
    <s v="Lead"/>
    <x v="0"/>
    <d v="2026-04-01T00:00:00"/>
    <x v="3"/>
    <x v="0"/>
    <n v="-92.2"/>
    <n v="0.59999999999999798"/>
    <n v="-90.8"/>
    <n v="-79.8"/>
    <n v="8.6"/>
    <n v="-10.558139534883722"/>
    <n v="-98500"/>
    <s v="No"/>
    <n v="-33.200000000000003"/>
    <s v="Needs Training"/>
  </r>
  <r>
    <s v="E065"/>
    <s v="Kevin Pillai"/>
    <x v="1"/>
    <s v="Support"/>
    <x v="1"/>
    <d v="2026-04-01T00:00:00"/>
    <x v="4"/>
    <x v="3"/>
    <n v="-93.8"/>
    <n v="0.59999999999999798"/>
    <n v="-92.4"/>
    <n v="-81.2"/>
    <n v="8.5999999999999908"/>
    <n v="-10.74418604651164"/>
    <n v="-101000"/>
    <s v="No"/>
    <n v="-33.799999999999997"/>
    <s v="Needs Training"/>
  </r>
  <r>
    <s v="E066"/>
    <s v="Rajesh Kumar"/>
    <x v="0"/>
    <s v="Associate"/>
    <x v="0"/>
    <d v="2026-04-01T00:00:00"/>
    <x v="0"/>
    <x v="0"/>
    <n v="-95.4"/>
    <n v="0.59999999999999798"/>
    <n v="-94"/>
    <n v="-82.6"/>
    <n v="8.5999999999999908"/>
    <n v="-10.930232558139547"/>
    <n v="-103500"/>
    <s v="No"/>
    <n v="-34.4"/>
    <s v="Needs Training"/>
  </r>
  <r>
    <s v="E067"/>
    <s v="Sarah Jones"/>
    <x v="1"/>
    <s v="Developer"/>
    <x v="1"/>
    <d v="2026-04-01T00:00:00"/>
    <x v="1"/>
    <x v="1"/>
    <n v="-97"/>
    <n v="0.59999999999999798"/>
    <n v="-95.6"/>
    <n v="-84"/>
    <n v="8.5999999999999908"/>
    <n v="-11.116279069767453"/>
    <n v="-106000"/>
    <s v="No"/>
    <n v="-35"/>
    <s v="Needs Training"/>
  </r>
  <r>
    <s v="E068"/>
    <s v="Aman Verma"/>
    <x v="2"/>
    <s v="Recruiter"/>
    <x v="2"/>
    <d v="2026-04-01T00:00:00"/>
    <x v="2"/>
    <x v="2"/>
    <n v="-98.6"/>
    <n v="0.59999999999999798"/>
    <n v="-97.2"/>
    <n v="-85.4"/>
    <n v="8.5999999999999908"/>
    <n v="-11.302325581395362"/>
    <n v="-108500"/>
    <s v="No"/>
    <n v="-35.6"/>
    <s v="Needs Training"/>
  </r>
  <r>
    <s v="E069"/>
    <s v="Priya Singh"/>
    <x v="0"/>
    <s v="Lead"/>
    <x v="0"/>
    <d v="2026-04-01T00:00:00"/>
    <x v="3"/>
    <x v="0"/>
    <n v="-100.2"/>
    <n v="0.59999999999999798"/>
    <n v="-98.8"/>
    <n v="-86.8"/>
    <n v="8.5999999999999908"/>
    <n v="-11.488372093023267"/>
    <n v="-111000"/>
    <s v="No"/>
    <n v="-36.200000000000003"/>
    <s v="Needs Training"/>
  </r>
  <r>
    <s v="E070"/>
    <s v="Kevin Pillai"/>
    <x v="1"/>
    <s v="Support"/>
    <x v="1"/>
    <d v="2026-04-01T00:00:00"/>
    <x v="4"/>
    <x v="3"/>
    <n v="-101.8"/>
    <n v="0.59999999999999798"/>
    <n v="-100.4"/>
    <n v="-88.2"/>
    <n v="8.5999999999999908"/>
    <n v="-11.674418604651176"/>
    <n v="-113500"/>
    <s v="No"/>
    <n v="-36.799999999999997"/>
    <s v="Needs Training"/>
  </r>
  <r>
    <s v="E071"/>
    <s v="Rajesh Kumar"/>
    <x v="0"/>
    <s v="Associate"/>
    <x v="0"/>
    <d v="2026-04-01T00:00:00"/>
    <x v="0"/>
    <x v="0"/>
    <n v="-103.4"/>
    <n v="0.59999999999999798"/>
    <n v="-102"/>
    <n v="-89.6"/>
    <n v="8.5999999999999908"/>
    <n v="-11.860465116279082"/>
    <n v="-116000"/>
    <s v="No"/>
    <n v="-37.4"/>
    <s v="Needs Training"/>
  </r>
  <r>
    <s v="E072"/>
    <s v="Sarah Jones"/>
    <x v="1"/>
    <s v="Developer"/>
    <x v="1"/>
    <d v="2026-04-01T00:00:00"/>
    <x v="1"/>
    <x v="1"/>
    <n v="-105"/>
    <n v="0.59999999999999798"/>
    <n v="-103.6"/>
    <n v="-91"/>
    <n v="8.5999999999999908"/>
    <n v="-12.046511627906989"/>
    <n v="-118500"/>
    <s v="No"/>
    <n v="-38"/>
    <s v="Needs Training"/>
  </r>
  <r>
    <s v="E073"/>
    <s v="Aman Verma"/>
    <x v="2"/>
    <s v="Recruiter"/>
    <x v="2"/>
    <d v="2026-04-01T00:00:00"/>
    <x v="2"/>
    <x v="2"/>
    <n v="-106.6"/>
    <n v="0.59999999999999798"/>
    <n v="-105.2"/>
    <n v="-92.4"/>
    <n v="8.5999999999999908"/>
    <n v="-12.232558139534897"/>
    <n v="-121000"/>
    <s v="No"/>
    <n v="-38.6"/>
    <s v="Needs Training"/>
  </r>
  <r>
    <s v="E074"/>
    <s v="Priya Singh"/>
    <x v="0"/>
    <s v="Lead"/>
    <x v="0"/>
    <d v="2026-04-01T00:00:00"/>
    <x v="3"/>
    <x v="0"/>
    <n v="-108.2"/>
    <n v="0.59999999999999798"/>
    <n v="-106.8"/>
    <n v="-93.8"/>
    <n v="8.5999999999999908"/>
    <n v="-12.418604651162804"/>
    <n v="-123500"/>
    <s v="No"/>
    <n v="-39.200000000000003"/>
    <s v="Needs Training"/>
  </r>
  <r>
    <s v="E075"/>
    <s v="Kevin Pillai"/>
    <x v="1"/>
    <s v="Support"/>
    <x v="1"/>
    <d v="2026-04-01T00:00:00"/>
    <x v="4"/>
    <x v="3"/>
    <n v="-109.8"/>
    <n v="0.59999999999999798"/>
    <n v="-108.4"/>
    <n v="-95.2"/>
    <n v="8.5999999999999908"/>
    <n v="-12.604651162790711"/>
    <n v="-126000"/>
    <s v="No"/>
    <n v="-39.799999999999997"/>
    <s v="Needs Training"/>
  </r>
  <r>
    <s v="E076"/>
    <s v="Rajesh Kumar"/>
    <x v="0"/>
    <s v="Associate"/>
    <x v="0"/>
    <d v="2026-04-01T00:00:00"/>
    <x v="0"/>
    <x v="0"/>
    <n v="-111.4"/>
    <n v="0.59999999999999698"/>
    <n v="-110"/>
    <n v="-96.6"/>
    <n v="8.5999999999999908"/>
    <n v="-12.790697674418618"/>
    <n v="-128500"/>
    <s v="No"/>
    <n v="-40.4"/>
    <s v="Needs Training"/>
  </r>
  <r>
    <s v="E077"/>
    <s v="Sarah Jones"/>
    <x v="1"/>
    <s v="Developer"/>
    <x v="1"/>
    <d v="2026-04-01T00:00:00"/>
    <x v="1"/>
    <x v="1"/>
    <n v="-113"/>
    <n v="0.59999999999999698"/>
    <n v="-111.6"/>
    <n v="-98"/>
    <n v="8.5999999999999908"/>
    <n v="-12.976744186046524"/>
    <n v="-131000"/>
    <s v="No"/>
    <n v="-41"/>
    <s v="Needs Training"/>
  </r>
  <r>
    <s v="E078"/>
    <s v="Aman Verma"/>
    <x v="2"/>
    <s v="Recruiter"/>
    <x v="2"/>
    <d v="2026-04-01T00:00:00"/>
    <x v="2"/>
    <x v="2"/>
    <n v="-114.6"/>
    <n v="0.59999999999999698"/>
    <n v="-113.2"/>
    <n v="-99.4"/>
    <n v="8.5999999999999908"/>
    <n v="-13.162790697674433"/>
    <n v="-133500"/>
    <s v="No"/>
    <n v="-41.6"/>
    <s v="Needs Training"/>
  </r>
  <r>
    <s v="E079"/>
    <s v="Priya Singh"/>
    <x v="0"/>
    <s v="Lead"/>
    <x v="0"/>
    <d v="2026-04-01T00:00:00"/>
    <x v="3"/>
    <x v="0"/>
    <n v="-116.2"/>
    <n v="0.59999999999999698"/>
    <n v="-114.8"/>
    <n v="-100.8"/>
    <n v="8.5999999999999908"/>
    <n v="-13.34883720930234"/>
    <n v="-136000"/>
    <s v="No"/>
    <n v="-42.2"/>
    <s v="Needs Training"/>
  </r>
  <r>
    <s v="E080"/>
    <s v="Kevin Pillai"/>
    <x v="1"/>
    <s v="Support"/>
    <x v="1"/>
    <d v="2026-04-01T00:00:00"/>
    <x v="4"/>
    <x v="3"/>
    <n v="-117.8"/>
    <n v="0.59999999999999698"/>
    <n v="-116.4"/>
    <n v="-102.2"/>
    <n v="8.5999999999999908"/>
    <n v="-13.534883720930248"/>
    <n v="-138500"/>
    <s v="No"/>
    <n v="-42.8"/>
    <s v="Needs Training"/>
  </r>
  <r>
    <s v="E081"/>
    <s v="Rajesh Kumar"/>
    <x v="0"/>
    <s v="Associate"/>
    <x v="0"/>
    <d v="2026-04-01T00:00:00"/>
    <x v="0"/>
    <x v="0"/>
    <n v="-119.4"/>
    <n v="0.59999999999999698"/>
    <n v="-118"/>
    <n v="-103.6"/>
    <n v="8.5999999999999908"/>
    <n v="-13.720930232558155"/>
    <n v="-141000"/>
    <s v="No"/>
    <n v="-43.4"/>
    <s v="Needs Training"/>
  </r>
  <r>
    <s v="E082"/>
    <s v="Sarah Jones"/>
    <x v="1"/>
    <s v="Developer"/>
    <x v="1"/>
    <d v="2026-04-01T00:00:00"/>
    <x v="1"/>
    <x v="1"/>
    <n v="-121"/>
    <n v="0.59999999999999698"/>
    <n v="-119.6"/>
    <n v="-105"/>
    <n v="8.5999999999999908"/>
    <n v="-13.906976744186061"/>
    <n v="-143500"/>
    <s v="No"/>
    <n v="-44"/>
    <s v="Needs Training"/>
  </r>
  <r>
    <s v="E083"/>
    <s v="Aman Verma"/>
    <x v="2"/>
    <s v="Recruiter"/>
    <x v="2"/>
    <d v="2026-04-01T00:00:00"/>
    <x v="2"/>
    <x v="2"/>
    <n v="-122.6"/>
    <n v="0.59999999999999698"/>
    <n v="-121.2"/>
    <n v="-106.4"/>
    <n v="8.5999999999999908"/>
    <n v="-14.09302325581397"/>
    <n v="-146000"/>
    <s v="No"/>
    <n v="-44.6"/>
    <s v="Needs Training"/>
  </r>
  <r>
    <s v="E084"/>
    <s v="Priya Singh"/>
    <x v="0"/>
    <s v="Lead"/>
    <x v="0"/>
    <d v="2026-04-01T00:00:00"/>
    <x v="3"/>
    <x v="0"/>
    <n v="-124.2"/>
    <n v="0.59999999999999698"/>
    <n v="-122.8"/>
    <n v="-107.8"/>
    <n v="8.5999999999999908"/>
    <n v="-14.279069767441875"/>
    <n v="-148500"/>
    <s v="No"/>
    <n v="-45.2"/>
    <s v="Needs Training"/>
  </r>
  <r>
    <s v="E085"/>
    <s v="Kevin Pillai"/>
    <x v="1"/>
    <s v="Support"/>
    <x v="1"/>
    <d v="2026-04-01T00:00:00"/>
    <x v="4"/>
    <x v="3"/>
    <n v="-125.8"/>
    <n v="0.59999999999999698"/>
    <n v="-124.4"/>
    <n v="-109.2"/>
    <n v="8.5999999999999908"/>
    <n v="-14.465116279069784"/>
    <n v="-151000"/>
    <s v="No"/>
    <n v="-45.8"/>
    <s v="Needs Training"/>
  </r>
  <r>
    <s v="E086"/>
    <s v="Rajesh Kumar"/>
    <x v="0"/>
    <s v="Associate"/>
    <x v="0"/>
    <d v="2026-04-01T00:00:00"/>
    <x v="0"/>
    <x v="0"/>
    <n v="-127.4"/>
    <n v="0.59999999999999698"/>
    <n v="-126"/>
    <n v="-110.6"/>
    <n v="8.5999999999999908"/>
    <n v="-14.65116279069769"/>
    <n v="-153500"/>
    <s v="No"/>
    <n v="-46.4"/>
    <s v="Needs Training"/>
  </r>
  <r>
    <s v="E087"/>
    <s v="Sarah Jones"/>
    <x v="1"/>
    <s v="Developer"/>
    <x v="1"/>
    <d v="2026-04-01T00:00:00"/>
    <x v="1"/>
    <x v="1"/>
    <n v="-129"/>
    <n v="0.59999999999999698"/>
    <n v="-127.6"/>
    <n v="-112"/>
    <n v="8.5999999999999908"/>
    <n v="-14.837209302325597"/>
    <n v="-156000"/>
    <s v="No"/>
    <n v="-47"/>
    <s v="Needs Training"/>
  </r>
  <r>
    <s v="E088"/>
    <s v="Aman Verma"/>
    <x v="2"/>
    <s v="Recruiter"/>
    <x v="2"/>
    <d v="2026-04-01T00:00:00"/>
    <x v="2"/>
    <x v="2"/>
    <n v="-130.6"/>
    <n v="0.59999999999999698"/>
    <n v="-129.19999999999999"/>
    <n v="-113.4"/>
    <n v="8.5999999999999908"/>
    <n v="-15.023255813953503"/>
    <n v="-158500"/>
    <s v="No"/>
    <n v="-47.6"/>
    <s v="Needs Training"/>
  </r>
  <r>
    <s v="E089"/>
    <s v="Priya Singh"/>
    <x v="0"/>
    <s v="Lead"/>
    <x v="0"/>
    <d v="2026-04-01T00:00:00"/>
    <x v="3"/>
    <x v="0"/>
    <n v="-132.19999999999999"/>
    <n v="0.59999999999999698"/>
    <n v="-130.80000000000001"/>
    <n v="-114.8"/>
    <n v="8.5999999999999908"/>
    <n v="-15.209302325581413"/>
    <n v="-161000"/>
    <s v="No"/>
    <n v="-48.2"/>
    <s v="Needs Training"/>
  </r>
  <r>
    <s v="E090"/>
    <s v="Kevin Pillai"/>
    <x v="1"/>
    <s v="Support"/>
    <x v="1"/>
    <d v="2026-04-01T00:00:00"/>
    <x v="4"/>
    <x v="3"/>
    <n v="-133.80000000000001"/>
    <n v="0.59999999999999698"/>
    <n v="-132.4"/>
    <n v="-116.2"/>
    <n v="8.5999999999999908"/>
    <n v="-15.395348837209319"/>
    <n v="-163500"/>
    <s v="No"/>
    <n v="-48.8"/>
    <s v="Needs Training"/>
  </r>
  <r>
    <s v="E091"/>
    <s v="Rajesh Kumar"/>
    <x v="0"/>
    <s v="Associate"/>
    <x v="0"/>
    <d v="2026-04-01T00:00:00"/>
    <x v="0"/>
    <x v="0"/>
    <n v="-135.4"/>
    <n v="0.59999999999999698"/>
    <n v="-134"/>
    <n v="-117.6"/>
    <n v="8.5999999999999908"/>
    <n v="-15.581395348837226"/>
    <n v="-166000"/>
    <s v="No"/>
    <n v="-49.4"/>
    <s v="Needs Training"/>
  </r>
  <r>
    <s v="E092"/>
    <s v="Sarah Jones"/>
    <x v="1"/>
    <s v="Developer"/>
    <x v="1"/>
    <d v="2026-04-01T00:00:00"/>
    <x v="1"/>
    <x v="1"/>
    <n v="-137"/>
    <n v="0.59999999999999698"/>
    <n v="-135.6"/>
    <n v="-119"/>
    <n v="8.5999999999999908"/>
    <n v="-15.767441860465132"/>
    <n v="-168500"/>
    <s v="No"/>
    <n v="-50"/>
    <s v="Needs Training"/>
  </r>
  <r>
    <s v="E093"/>
    <s v="Aman Verma"/>
    <x v="2"/>
    <s v="Recruiter"/>
    <x v="2"/>
    <d v="2026-04-01T00:00:00"/>
    <x v="2"/>
    <x v="2"/>
    <n v="-138.6"/>
    <n v="0.59999999999999698"/>
    <n v="-137.19999999999999"/>
    <n v="-120.4"/>
    <n v="8.5999999999999908"/>
    <n v="-15.953488372093039"/>
    <n v="-171000"/>
    <s v="No"/>
    <n v="-50.6"/>
    <s v="Needs Training"/>
  </r>
  <r>
    <s v="E094"/>
    <s v="Priya Singh"/>
    <x v="0"/>
    <s v="Lead"/>
    <x v="0"/>
    <d v="2026-04-01T00:00:00"/>
    <x v="3"/>
    <x v="0"/>
    <n v="-140.19999999999999"/>
    <n v="0.59999999999999698"/>
    <n v="-138.80000000000001"/>
    <n v="-121.8"/>
    <n v="8.5999999999999908"/>
    <n v="-16.139534883720948"/>
    <n v="-173500"/>
    <s v="No"/>
    <n v="-51.2"/>
    <s v="Needs Training"/>
  </r>
  <r>
    <s v="E095"/>
    <s v="Kevin Pillai"/>
    <x v="1"/>
    <s v="Support"/>
    <x v="1"/>
    <d v="2026-04-01T00:00:00"/>
    <x v="4"/>
    <x v="3"/>
    <n v="-141.80000000000001"/>
    <n v="0.59999999999999698"/>
    <n v="-140.4"/>
    <n v="-123.2"/>
    <n v="8.5999999999999908"/>
    <n v="-16.325581395348856"/>
    <n v="-176000"/>
    <s v="No"/>
    <n v="-51.8"/>
    <s v="Needs Training"/>
  </r>
  <r>
    <s v="E096"/>
    <s v="Rajesh Kumar"/>
    <x v="0"/>
    <s v="Associate"/>
    <x v="0"/>
    <d v="2026-04-01T00:00:00"/>
    <x v="0"/>
    <x v="0"/>
    <n v="-143.4"/>
    <n v="0.59999999999999698"/>
    <n v="-142"/>
    <n v="-124.6"/>
    <n v="8.5999999999999908"/>
    <n v="-16.511627906976763"/>
    <n v="-178500"/>
    <s v="No"/>
    <n v="-52.4"/>
    <s v="Needs Training"/>
  </r>
  <r>
    <s v="E097"/>
    <s v="Sarah Jones"/>
    <x v="1"/>
    <s v="Developer"/>
    <x v="1"/>
    <d v="2026-04-01T00:00:00"/>
    <x v="1"/>
    <x v="1"/>
    <n v="-145"/>
    <n v="0.59999999999999698"/>
    <n v="-143.6"/>
    <n v="-126"/>
    <n v="8.5999999999999908"/>
    <n v="-16.69767441860467"/>
    <n v="-181000"/>
    <s v="No"/>
    <n v="-53"/>
    <s v="Needs Training"/>
  </r>
  <r>
    <s v="E098"/>
    <s v="Aman Verma"/>
    <x v="2"/>
    <s v="Recruiter"/>
    <x v="2"/>
    <d v="2026-04-01T00:00:00"/>
    <x v="2"/>
    <x v="2"/>
    <n v="-146.6"/>
    <n v="0.59999999999999698"/>
    <n v="-145.19999999999999"/>
    <n v="-127.4"/>
    <n v="8.5999999999999908"/>
    <n v="-16.883720930232574"/>
    <n v="-183500"/>
    <s v="No"/>
    <n v="-53.6"/>
    <s v="Needs Training"/>
  </r>
  <r>
    <s v="E099"/>
    <s v="Priya Singh"/>
    <x v="0"/>
    <s v="Lead"/>
    <x v="0"/>
    <d v="2026-04-01T00:00:00"/>
    <x v="3"/>
    <x v="0"/>
    <n v="-148.19999999999999"/>
    <n v="0.59999999999999698"/>
    <n v="-146.80000000000001"/>
    <n v="-128.80000000000001"/>
    <n v="8.5999999999999908"/>
    <n v="-17.069767441860485"/>
    <n v="-186000"/>
    <s v="No"/>
    <n v="-54.2"/>
    <s v="Needs Training"/>
  </r>
  <r>
    <s v="E100"/>
    <s v="Kevin Pillai"/>
    <x v="1"/>
    <s v="Support"/>
    <x v="1"/>
    <d v="2026-04-01T00:00:00"/>
    <x v="4"/>
    <x v="3"/>
    <n v="-149.80000000000001"/>
    <n v="0.59999999999999698"/>
    <n v="-148.4"/>
    <n v="-130.19999999999999"/>
    <n v="8.5999999999999908"/>
    <n v="-17.255813953488392"/>
    <n v="-188500"/>
    <s v="No"/>
    <n v="-54.8"/>
    <s v="Needs Trai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670D7-883C-45A3-95DE-9998D61077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sk done">
  <location ref="D17:E21" firstHeaderRow="1" firstDataRow="1" firstDataCol="1"/>
  <pivotFields count="18">
    <pivotField showAll="0"/>
    <pivotField showAll="0"/>
    <pivotField axis="axisRow" showAll="0">
      <items count="4">
        <item x="2"/>
        <item x="1"/>
        <item x="0"/>
        <item t="default"/>
      </items>
    </pivotField>
    <pivotField showAll="0"/>
    <pivotField showAll="0"/>
    <pivotField numFmtId="16"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Tasks Done" fld="10"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B3611-70F4-46C5-B193-8F0D03F40F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Employees">
  <location ref="A16:B20" firstHeaderRow="1" firstDataRow="1" firstDataCol="1"/>
  <pivotFields count="18">
    <pivotField dataField="1" showAll="0"/>
    <pivotField showAll="0"/>
    <pivotField axis="axisRow" showAll="0">
      <items count="4">
        <item x="2"/>
        <item x="1"/>
        <item x="0"/>
        <item t="default"/>
      </items>
    </pivotField>
    <pivotField showAll="0"/>
    <pivotField showAll="0">
      <items count="4">
        <item x="1"/>
        <item x="2"/>
        <item x="0"/>
        <item t="default"/>
      </items>
    </pivotField>
    <pivotField numFmtId="16" showAll="0"/>
    <pivotField showAll="0">
      <items count="6">
        <item x="2"/>
        <item x="4"/>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591BB-A168-43D4-AE47-9A5D6E55D0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endance">
  <location ref="A8:B13" firstHeaderRow="1" firstDataRow="1" firstDataCol="1"/>
  <pivotFields count="18">
    <pivotField showAll="0"/>
    <pivotField showAll="0"/>
    <pivotField showAll="0">
      <items count="4">
        <item x="2"/>
        <item x="1"/>
        <item x="0"/>
        <item t="default"/>
      </items>
    </pivotField>
    <pivotField showAll="0"/>
    <pivotField showAll="0">
      <items count="4">
        <item x="1"/>
        <item x="2"/>
        <item x="0"/>
        <item t="default"/>
      </items>
    </pivotField>
    <pivotField numFmtId="16" showAll="0"/>
    <pivotField showAll="0">
      <items count="6">
        <item x="2"/>
        <item x="4"/>
        <item x="0"/>
        <item x="3"/>
        <item x="1"/>
        <item t="default"/>
      </items>
    </pivotField>
    <pivotField axis="axisRow" dataField="1"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Status"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4A5DC-FA2D-4277-89E2-72A430932E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verage Performance">
  <location ref="A1:B5" firstHeaderRow="1" firstDataRow="1" firstDataCol="1"/>
  <pivotFields count="18">
    <pivotField showAll="0"/>
    <pivotField showAll="0"/>
    <pivotField axis="axisRow" showAll="0">
      <items count="4">
        <item x="2"/>
        <item x="1"/>
        <item x="0"/>
        <item t="default"/>
      </items>
    </pivotField>
    <pivotField showAll="0"/>
    <pivotField showAll="0">
      <items count="4">
        <item x="1"/>
        <item x="2"/>
        <item x="0"/>
        <item t="default"/>
      </items>
    </pivotField>
    <pivotField numFmtId="16" showAll="0"/>
    <pivotField showAll="0">
      <items count="6">
        <item x="2"/>
        <item x="4"/>
        <item x="0"/>
        <item x="3"/>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Perf Score" fld="11"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946FA-4599-4044-B3C6-EF65AC967A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ask done">
  <location ref="D11:E15" firstHeaderRow="1" firstDataRow="1" firstDataCol="1"/>
  <pivotFields count="18">
    <pivotField showAll="0"/>
    <pivotField showAll="0"/>
    <pivotField axis="axisRow" showAll="0">
      <items count="4">
        <item x="2"/>
        <item x="1"/>
        <item x="0"/>
        <item t="default"/>
      </items>
    </pivotField>
    <pivotField showAll="0"/>
    <pivotField showAll="0"/>
    <pivotField numFmtId="16"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Perf Score" fld="11"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CAACB6AB-BBBF-4A8B-97AF-A25943796638}" sourceName="Dept">
  <pivotTables>
    <pivotTable tabId="3" name="PivotTable1"/>
    <pivotTable tabId="3" name="PivotTable2"/>
    <pivotTable tabId="3" name="PivotTable3"/>
    <pivotTable tabId="3" name="PivotTable4"/>
    <pivotTable tabId="3" name="PivotTable5"/>
  </pivotTables>
  <data>
    <tabular pivotCacheId="19158901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 xr10:uid="{5CF840F4-E1AB-4B5D-B7D7-09DCECA11752}" sourceName="Loc">
  <pivotTables>
    <pivotTable tabId="3" name="PivotTable1"/>
    <pivotTable tabId="3" name="PivotTable2"/>
    <pivotTable tabId="3" name="PivotTable3"/>
  </pivotTables>
  <data>
    <tabular pivotCacheId="191589012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D188C3A-E0DD-4256-97AA-8E6FE44F2596}" sourceName="Month">
  <pivotTables>
    <pivotTable tabId="3" name="PivotTable1"/>
    <pivotTable tabId="3" name="PivotTable2"/>
    <pivotTable tabId="3" name="PivotTable3"/>
  </pivotTables>
  <data>
    <tabular pivotCacheId="1915890123">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F6A5FBEB-04B5-49BE-B856-89949B76D9AB}" cache="Slicer_Dept" caption="Dept" rowHeight="234950"/>
  <slicer name="Loc" xr10:uid="{1991853C-346E-4BD5-B3E9-2AF7DF1EEB17}" cache="Slicer_Loc" caption="Loc" rowHeight="234950"/>
  <slicer name="Month" xr10:uid="{2E14C6A5-5531-4933-8EA3-8CF7E4A3A817}"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9748FC-6B59-4518-B319-7C35ECB517F1}" name="Table2" displayName="Table2" ref="A1:R101" totalsRowShown="0" headerRowDxfId="26" headerRowBorderDxfId="25" tableBorderDxfId="24" totalsRowBorderDxfId="23">
  <autoFilter ref="A1:R101" xr:uid="{799748FC-6B59-4518-B319-7C35ECB517F1}"/>
  <tableColumns count="18">
    <tableColumn id="1" xr3:uid="{4330D657-1F4D-4142-8AF6-C444EBF32AD4}" name="Emp ID" dataDxfId="22"/>
    <tableColumn id="2" xr3:uid="{BE323A33-C0CC-4A0B-80C7-A752E5ADC49B}" name="Name" dataDxfId="21"/>
    <tableColumn id="3" xr3:uid="{F397E61B-F492-41BD-A98F-4963706FD32A}" name="Dept" dataDxfId="20"/>
    <tableColumn id="4" xr3:uid="{407D8F8E-51F5-4D50-B82D-82B278C400A1}" name="Role" dataDxfId="19"/>
    <tableColumn id="5" xr3:uid="{72B4905A-3B00-4F86-8C7F-C54C1B25C9C4}" name="Loc" dataDxfId="18"/>
    <tableColumn id="6" xr3:uid="{B2349DB7-6F37-440D-9684-01563880F49A}" name="Date" dataDxfId="17"/>
    <tableColumn id="7" xr3:uid="{FBB0B367-D70D-425B-9D6B-AFDE4AED6886}" name="Month" dataDxfId="16"/>
    <tableColumn id="8" xr3:uid="{A267A5D3-35CD-4B59-AA25-5BAA3692688F}" name="Status" dataDxfId="15"/>
    <tableColumn id="9" xr3:uid="{36BE1317-8D52-4F5D-B3E5-792F6B174506}" name="Work Hrs" dataDxfId="14"/>
    <tableColumn id="10" xr3:uid="{27079797-9383-4841-A4CE-0818AEECE6B2}" name="OT" dataDxfId="13"/>
    <tableColumn id="11" xr3:uid="{C04EC196-01B4-40D9-A5C4-277E8D55D6C8}" name="Tasks Done" dataDxfId="12"/>
    <tableColumn id="12" xr3:uid="{78C07FBC-EB5E-40E7-A438-F29A3A4EA73A}" name="Perf Score" dataDxfId="11"/>
    <tableColumn id="13" xr3:uid="{DAED21C0-B1CA-4D73-BF6D-7BFFAAD681DA}" name="Target" dataDxfId="10"/>
    <tableColumn id="14" xr3:uid="{02910375-EB25-4561-B842-7617C37F20F1}" name="Achieve %" dataDxfId="9"/>
    <tableColumn id="15" xr3:uid="{310ECA72-F858-415A-8973-11E3B8319AF0}" name="Salary" dataDxfId="8"/>
    <tableColumn id="16" xr3:uid="{6A8A0670-706A-4293-9587-F5FACC75810C}" name="Bonus?" dataDxfId="7"/>
    <tableColumn id="17" xr3:uid="{437A8C23-9B65-406B-96A7-5ABD2ABDB038}" name="Rating" dataDxfId="6"/>
    <tableColumn id="18" xr3:uid="{6C571369-C922-4F52-B8EC-98DCFD2238B1}" name="Remark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E6A2D-B958-4023-BFF0-BC4AD55624BB}" name="Table1" displayName="Table1" ref="A1:R101" totalsRowShown="0" headerRowDxfId="4" dataDxfId="2" headerRowBorderDxfId="3" tableBorderDxfId="1" totalsRowBorderDxfId="0">
  <autoFilter ref="A1:R101" xr:uid="{02DE6A2D-B958-4023-BFF0-BC4AD55624BB}"/>
  <tableColumns count="18">
    <tableColumn id="1" xr3:uid="{E3D4837A-2481-464A-B356-A1667071EDE5}" name="Emp ID"/>
    <tableColumn id="2" xr3:uid="{950F75F5-BC0F-4079-9295-6577259AD4B7}" name="Name"/>
    <tableColumn id="3" xr3:uid="{C7C4D47D-A531-405F-848E-DEAF3F1A2FA7}" name="Dept"/>
    <tableColumn id="4" xr3:uid="{71E2656E-D2A1-4960-8C6A-B9B471C18587}" name="Role"/>
    <tableColumn id="5" xr3:uid="{0669F055-E21A-4F82-A87B-EA0A1FFACC5D}" name="Loc"/>
    <tableColumn id="6" xr3:uid="{A5B0FEDE-30CC-4F3E-AE65-CACBBE408B3F}" name="Date"/>
    <tableColumn id="7" xr3:uid="{F86C8CFA-1A11-4F53-BFB7-331B61DDA868}" name="Month"/>
    <tableColumn id="8" xr3:uid="{3BA37B44-CBC1-498E-A02E-2249F5C19244}" name="Status"/>
    <tableColumn id="9" xr3:uid="{2943A022-25FB-4E11-B3DD-B36DE541FBCA}" name="Work Hrs"/>
    <tableColumn id="10" xr3:uid="{42440489-9BA9-4BB9-9B02-62FE1E9E1E32}" name="OT"/>
    <tableColumn id="11" xr3:uid="{7731AC4F-413A-417E-80E7-63C1705FDBAD}" name="Tasks Done"/>
    <tableColumn id="12" xr3:uid="{16440EDE-49EB-43FD-9DB5-CBF9F2DA493A}" name="Perf Score"/>
    <tableColumn id="13" xr3:uid="{AA1518DE-AD02-469B-B670-34DD4B3D995F}" name="Target"/>
    <tableColumn id="14" xr3:uid="{882C1035-3AE1-4541-BDD7-CA3737683954}" name="Achieve %">
      <calculatedColumnFormula>Table1[[#This Row],[Tasks Done]]/Table1[[#This Row],[Target]]</calculatedColumnFormula>
    </tableColumn>
    <tableColumn id="15" xr3:uid="{C7652071-284D-40DA-AD52-5B148E1413AA}" name="Salary"/>
    <tableColumn id="16" xr3:uid="{FF1A924B-CCE0-4976-9C2A-2C439514220C}" name="Bonus?">
      <calculatedColumnFormula>IF(Table1[[#This Row],[Achieve %]]&gt;0.9,"Yes","No")</calculatedColumnFormula>
    </tableColumn>
    <tableColumn id="17" xr3:uid="{2B2AD646-EBF5-4423-87CD-5850A37195DC}" name="Rating"/>
    <tableColumn id="18" xr3:uid="{F72A44D6-13D2-4418-B98A-90064D9647A3}" name="Remarks">
      <calculatedColumnFormula>IF(Table1[[#This Row],[Perf Score]]&gt;=8,"Top Performer", "Needs Training")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2579-388B-44D0-AD4F-F50B47370571}">
  <dimension ref="A1:R101"/>
  <sheetViews>
    <sheetView topLeftCell="A86" workbookViewId="0">
      <selection activeCell="S93" sqref="S93"/>
    </sheetView>
  </sheetViews>
  <sheetFormatPr defaultRowHeight="14.4" x14ac:dyDescent="0.3"/>
  <cols>
    <col min="1" max="1" width="11.21875" customWidth="1"/>
    <col min="2" max="2" width="9.88671875" customWidth="1"/>
    <col min="7" max="7" width="10.21875" customWidth="1"/>
    <col min="8" max="8" width="10.33203125" customWidth="1"/>
    <col min="9" max="9" width="13.109375" customWidth="1"/>
    <col min="11" max="11" width="15.5546875" customWidth="1"/>
    <col min="12" max="12" width="14.44140625" customWidth="1"/>
    <col min="13" max="13" width="10.44140625" customWidth="1"/>
    <col min="14" max="14" width="14.6640625" customWidth="1"/>
    <col min="15" max="15" width="10.33203125" customWidth="1"/>
    <col min="16" max="16" width="11.6640625" customWidth="1"/>
    <col min="17" max="17" width="10.44140625" customWidth="1"/>
    <col min="18" max="18" width="11.5546875" customWidth="1"/>
  </cols>
  <sheetData>
    <row r="1" spans="1:18" ht="15" thickBot="1" x14ac:dyDescent="0.35">
      <c r="A1" s="6" t="s">
        <v>0</v>
      </c>
      <c r="B1" s="7" t="s">
        <v>1</v>
      </c>
      <c r="C1" s="7" t="s">
        <v>2</v>
      </c>
      <c r="D1" s="7" t="s">
        <v>3</v>
      </c>
      <c r="E1" s="7" t="s">
        <v>39</v>
      </c>
      <c r="F1" s="7" t="s">
        <v>4</v>
      </c>
      <c r="G1" s="7" t="s">
        <v>5</v>
      </c>
      <c r="H1" s="7" t="s">
        <v>6</v>
      </c>
      <c r="I1" s="7" t="s">
        <v>7</v>
      </c>
      <c r="J1" s="7" t="s">
        <v>8</v>
      </c>
      <c r="K1" s="7" t="s">
        <v>9</v>
      </c>
      <c r="L1" s="7" t="s">
        <v>10</v>
      </c>
      <c r="M1" s="7" t="s">
        <v>11</v>
      </c>
      <c r="N1" s="7" t="s">
        <v>40</v>
      </c>
      <c r="O1" s="7" t="s">
        <v>12</v>
      </c>
      <c r="P1" s="7" t="s">
        <v>41</v>
      </c>
      <c r="Q1" s="7" t="s">
        <v>42</v>
      </c>
      <c r="R1" s="8" t="s">
        <v>43</v>
      </c>
    </row>
    <row r="2" spans="1:18" ht="28.2" thickBot="1" x14ac:dyDescent="0.35">
      <c r="A2" s="5" t="s">
        <v>13</v>
      </c>
      <c r="B2" s="3" t="s">
        <v>14</v>
      </c>
      <c r="C2" s="3" t="s">
        <v>15</v>
      </c>
      <c r="D2" s="3" t="s">
        <v>16</v>
      </c>
      <c r="E2" s="3" t="s">
        <v>17</v>
      </c>
      <c r="F2" s="4">
        <v>46113</v>
      </c>
      <c r="G2" s="3" t="s">
        <v>18</v>
      </c>
      <c r="H2" s="3" t="s">
        <v>19</v>
      </c>
      <c r="I2" s="3">
        <v>9</v>
      </c>
      <c r="J2" s="3">
        <v>1</v>
      </c>
      <c r="K2" s="3">
        <v>12</v>
      </c>
      <c r="L2" s="3">
        <v>8</v>
      </c>
      <c r="M2" s="3">
        <v>10</v>
      </c>
      <c r="N2" s="12" t="s">
        <v>44</v>
      </c>
      <c r="O2" s="3">
        <v>45000</v>
      </c>
      <c r="P2" s="12" t="s">
        <v>44</v>
      </c>
      <c r="Q2" s="3">
        <v>4</v>
      </c>
      <c r="R2" s="14" t="s">
        <v>44</v>
      </c>
    </row>
    <row r="3" spans="1:18" ht="29.4" thickBot="1" x14ac:dyDescent="0.35">
      <c r="A3" s="5" t="s">
        <v>20</v>
      </c>
      <c r="B3" s="3" t="s">
        <v>21</v>
      </c>
      <c r="C3" s="3" t="s">
        <v>22</v>
      </c>
      <c r="D3" s="3" t="s">
        <v>23</v>
      </c>
      <c r="E3" s="3" t="s">
        <v>24</v>
      </c>
      <c r="F3" s="4">
        <v>46113</v>
      </c>
      <c r="G3" s="3" t="s">
        <v>18</v>
      </c>
      <c r="H3" s="3" t="s">
        <v>25</v>
      </c>
      <c r="I3" s="3">
        <v>8</v>
      </c>
      <c r="J3" s="3">
        <v>0</v>
      </c>
      <c r="K3" s="3">
        <v>7</v>
      </c>
      <c r="L3" s="3">
        <v>9</v>
      </c>
      <c r="M3" s="3">
        <v>8</v>
      </c>
      <c r="N3" s="12" t="s">
        <v>44</v>
      </c>
      <c r="O3" s="3">
        <v>75000</v>
      </c>
      <c r="P3" s="12" t="s">
        <v>44</v>
      </c>
      <c r="Q3" s="3">
        <v>5</v>
      </c>
      <c r="R3" s="14" t="s">
        <v>44</v>
      </c>
    </row>
    <row r="4" spans="1:18" ht="29.4" thickBot="1" x14ac:dyDescent="0.35">
      <c r="A4" s="5" t="s">
        <v>26</v>
      </c>
      <c r="B4" s="3" t="s">
        <v>27</v>
      </c>
      <c r="C4" s="3" t="s">
        <v>28</v>
      </c>
      <c r="D4" s="3" t="s">
        <v>29</v>
      </c>
      <c r="E4" s="3" t="s">
        <v>30</v>
      </c>
      <c r="F4" s="4">
        <v>46113</v>
      </c>
      <c r="G4" s="3" t="s">
        <v>18</v>
      </c>
      <c r="H4" s="3" t="s">
        <v>31</v>
      </c>
      <c r="I4" s="3">
        <v>0</v>
      </c>
      <c r="J4" s="3">
        <v>0</v>
      </c>
      <c r="K4" s="3">
        <v>0</v>
      </c>
      <c r="L4" s="3">
        <v>1</v>
      </c>
      <c r="M4" s="3">
        <v>5</v>
      </c>
      <c r="N4" s="12" t="s">
        <v>44</v>
      </c>
      <c r="O4" s="3">
        <v>50000</v>
      </c>
      <c r="P4" s="12" t="s">
        <v>44</v>
      </c>
      <c r="Q4" s="3">
        <v>2</v>
      </c>
      <c r="R4" s="14" t="s">
        <v>44</v>
      </c>
    </row>
    <row r="5" spans="1:18" ht="28.2" thickBot="1" x14ac:dyDescent="0.35">
      <c r="A5" s="5" t="s">
        <v>32</v>
      </c>
      <c r="B5" s="3" t="s">
        <v>33</v>
      </c>
      <c r="C5" s="3" t="s">
        <v>15</v>
      </c>
      <c r="D5" s="3" t="s">
        <v>34</v>
      </c>
      <c r="E5" s="3" t="s">
        <v>17</v>
      </c>
      <c r="F5" s="4">
        <v>46113</v>
      </c>
      <c r="G5" s="3" t="s">
        <v>18</v>
      </c>
      <c r="H5" s="3" t="s">
        <v>19</v>
      </c>
      <c r="I5" s="3">
        <v>10</v>
      </c>
      <c r="J5" s="3">
        <v>2</v>
      </c>
      <c r="K5" s="3">
        <v>15</v>
      </c>
      <c r="L5" s="3">
        <v>9</v>
      </c>
      <c r="M5" s="3">
        <v>12</v>
      </c>
      <c r="N5" s="12" t="s">
        <v>44</v>
      </c>
      <c r="O5" s="3">
        <v>60000</v>
      </c>
      <c r="P5" s="12" t="s">
        <v>44</v>
      </c>
      <c r="Q5" s="3">
        <v>5</v>
      </c>
      <c r="R5" s="14" t="s">
        <v>44</v>
      </c>
    </row>
    <row r="6" spans="1:18" ht="28.2" thickBot="1" x14ac:dyDescent="0.35">
      <c r="A6" s="9" t="s">
        <v>35</v>
      </c>
      <c r="B6" s="10" t="s">
        <v>36</v>
      </c>
      <c r="C6" s="10" t="s">
        <v>22</v>
      </c>
      <c r="D6" s="10" t="s">
        <v>37</v>
      </c>
      <c r="E6" s="10" t="s">
        <v>24</v>
      </c>
      <c r="F6" s="11">
        <v>46113</v>
      </c>
      <c r="G6" s="10" t="s">
        <v>18</v>
      </c>
      <c r="H6" s="10" t="s">
        <v>38</v>
      </c>
      <c r="I6" s="10">
        <v>0</v>
      </c>
      <c r="J6" s="10">
        <v>0</v>
      </c>
      <c r="K6" s="10">
        <v>0</v>
      </c>
      <c r="L6" s="10">
        <v>1</v>
      </c>
      <c r="M6" s="10">
        <v>8</v>
      </c>
      <c r="N6" s="15" t="s">
        <v>44</v>
      </c>
      <c r="O6" s="10">
        <v>40000</v>
      </c>
      <c r="P6" s="15" t="s">
        <v>44</v>
      </c>
      <c r="Q6" s="10">
        <v>1</v>
      </c>
      <c r="R6" s="16" t="s">
        <v>44</v>
      </c>
    </row>
    <row r="7" spans="1:18" ht="28.2" thickBot="1" x14ac:dyDescent="0.35">
      <c r="A7" s="5" t="s">
        <v>59</v>
      </c>
      <c r="B7" s="3" t="s">
        <v>14</v>
      </c>
      <c r="C7" s="3" t="s">
        <v>15</v>
      </c>
      <c r="D7" s="3" t="s">
        <v>16</v>
      </c>
      <c r="E7" s="3" t="s">
        <v>17</v>
      </c>
      <c r="F7" s="4">
        <v>46113</v>
      </c>
      <c r="G7" s="3" t="s">
        <v>18</v>
      </c>
      <c r="H7" s="3" t="s">
        <v>19</v>
      </c>
      <c r="I7" s="3">
        <v>0.6</v>
      </c>
      <c r="J7" s="3">
        <v>0.6</v>
      </c>
      <c r="K7" s="3">
        <v>2</v>
      </c>
      <c r="L7" s="3">
        <v>1.4</v>
      </c>
      <c r="M7" s="3">
        <v>8.6</v>
      </c>
      <c r="N7" s="12" t="s">
        <v>44</v>
      </c>
      <c r="O7" s="3">
        <v>46500</v>
      </c>
      <c r="P7" s="12" t="s">
        <v>44</v>
      </c>
      <c r="Q7" s="3">
        <v>1.6</v>
      </c>
      <c r="R7" s="14" t="s">
        <v>44</v>
      </c>
    </row>
    <row r="8" spans="1:18" ht="28.2" thickBot="1" x14ac:dyDescent="0.35">
      <c r="A8" s="5" t="s">
        <v>60</v>
      </c>
      <c r="B8" s="3" t="s">
        <v>21</v>
      </c>
      <c r="C8" s="3" t="s">
        <v>22</v>
      </c>
      <c r="D8" s="3" t="s">
        <v>23</v>
      </c>
      <c r="E8" s="3" t="s">
        <v>24</v>
      </c>
      <c r="F8" s="4">
        <v>46113</v>
      </c>
      <c r="G8" s="3" t="s">
        <v>18</v>
      </c>
      <c r="H8" s="3" t="s">
        <v>25</v>
      </c>
      <c r="I8" s="3">
        <v>-1</v>
      </c>
      <c r="J8" s="3">
        <v>0.6</v>
      </c>
      <c r="K8" s="3">
        <v>0.4</v>
      </c>
      <c r="L8" s="3">
        <v>0</v>
      </c>
      <c r="M8" s="3">
        <v>8.6</v>
      </c>
      <c r="N8" s="12" t="s">
        <v>44</v>
      </c>
      <c r="O8" s="3">
        <v>44000</v>
      </c>
      <c r="P8" s="12" t="s">
        <v>44</v>
      </c>
      <c r="Q8" s="3">
        <v>1</v>
      </c>
      <c r="R8" s="14" t="s">
        <v>44</v>
      </c>
    </row>
    <row r="9" spans="1:18" ht="28.2" thickBot="1" x14ac:dyDescent="0.35">
      <c r="A9" s="5" t="s">
        <v>61</v>
      </c>
      <c r="B9" s="3" t="s">
        <v>27</v>
      </c>
      <c r="C9" s="3" t="s">
        <v>28</v>
      </c>
      <c r="D9" s="3" t="s">
        <v>29</v>
      </c>
      <c r="E9" s="3" t="s">
        <v>30</v>
      </c>
      <c r="F9" s="4">
        <v>46113</v>
      </c>
      <c r="G9" s="3" t="s">
        <v>18</v>
      </c>
      <c r="H9" s="3" t="s">
        <v>31</v>
      </c>
      <c r="I9" s="3">
        <v>-2.6</v>
      </c>
      <c r="J9" s="3">
        <v>0.6</v>
      </c>
      <c r="K9" s="3">
        <v>-1.2</v>
      </c>
      <c r="L9" s="3">
        <v>-1.4</v>
      </c>
      <c r="M9" s="3">
        <v>8.6</v>
      </c>
      <c r="N9" s="12" t="s">
        <v>44</v>
      </c>
      <c r="O9" s="3">
        <v>41500</v>
      </c>
      <c r="P9" s="12" t="s">
        <v>44</v>
      </c>
      <c r="Q9" s="3">
        <v>0.39999999999999902</v>
      </c>
      <c r="R9" s="14" t="s">
        <v>44</v>
      </c>
    </row>
    <row r="10" spans="1:18" ht="28.2" thickBot="1" x14ac:dyDescent="0.35">
      <c r="A10" s="5" t="s">
        <v>62</v>
      </c>
      <c r="B10" s="3" t="s">
        <v>33</v>
      </c>
      <c r="C10" s="3" t="s">
        <v>15</v>
      </c>
      <c r="D10" s="3" t="s">
        <v>34</v>
      </c>
      <c r="E10" s="3" t="s">
        <v>17</v>
      </c>
      <c r="F10" s="4">
        <v>46113</v>
      </c>
      <c r="G10" s="3" t="s">
        <v>18</v>
      </c>
      <c r="H10" s="3" t="s">
        <v>19</v>
      </c>
      <c r="I10" s="3">
        <v>-4.2</v>
      </c>
      <c r="J10" s="3">
        <v>0.6</v>
      </c>
      <c r="K10" s="3">
        <v>-2.8</v>
      </c>
      <c r="L10" s="3">
        <v>-2.8</v>
      </c>
      <c r="M10" s="3">
        <v>8.6</v>
      </c>
      <c r="N10" s="12" t="s">
        <v>44</v>
      </c>
      <c r="O10" s="3">
        <v>39000</v>
      </c>
      <c r="P10" s="12" t="s">
        <v>44</v>
      </c>
      <c r="Q10" s="3">
        <v>-0.2</v>
      </c>
      <c r="R10" s="14" t="s">
        <v>44</v>
      </c>
    </row>
    <row r="11" spans="1:18" ht="28.2" thickBot="1" x14ac:dyDescent="0.35">
      <c r="A11" s="9" t="s">
        <v>63</v>
      </c>
      <c r="B11" s="10" t="s">
        <v>36</v>
      </c>
      <c r="C11" s="10" t="s">
        <v>22</v>
      </c>
      <c r="D11" s="10" t="s">
        <v>37</v>
      </c>
      <c r="E11" s="10" t="s">
        <v>24</v>
      </c>
      <c r="F11" s="11">
        <v>46113</v>
      </c>
      <c r="G11" s="10" t="s">
        <v>18</v>
      </c>
      <c r="H11" s="10" t="s">
        <v>38</v>
      </c>
      <c r="I11" s="10">
        <v>-5.8</v>
      </c>
      <c r="J11" s="10">
        <v>0.6</v>
      </c>
      <c r="K11" s="10">
        <v>-4.4000000000000004</v>
      </c>
      <c r="L11" s="10">
        <v>-4.2</v>
      </c>
      <c r="M11" s="10">
        <v>8.6</v>
      </c>
      <c r="N11" s="15" t="s">
        <v>44</v>
      </c>
      <c r="O11" s="10">
        <v>36500</v>
      </c>
      <c r="P11" s="15" t="s">
        <v>44</v>
      </c>
      <c r="Q11" s="10">
        <v>-0.80000000000000104</v>
      </c>
      <c r="R11" s="16" t="s">
        <v>44</v>
      </c>
    </row>
    <row r="12" spans="1:18" ht="28.2" thickBot="1" x14ac:dyDescent="0.35">
      <c r="A12" s="5" t="s">
        <v>64</v>
      </c>
      <c r="B12" s="3" t="s">
        <v>14</v>
      </c>
      <c r="C12" s="3" t="s">
        <v>15</v>
      </c>
      <c r="D12" s="3" t="s">
        <v>16</v>
      </c>
      <c r="E12" s="3" t="s">
        <v>17</v>
      </c>
      <c r="F12" s="4">
        <v>46113</v>
      </c>
      <c r="G12" s="3" t="s">
        <v>18</v>
      </c>
      <c r="H12" s="3" t="s">
        <v>19</v>
      </c>
      <c r="I12" s="3">
        <v>-7.4</v>
      </c>
      <c r="J12" s="3">
        <v>0.6</v>
      </c>
      <c r="K12" s="3">
        <v>-6</v>
      </c>
      <c r="L12" s="3">
        <v>-5.6</v>
      </c>
      <c r="M12" s="3">
        <v>8.6</v>
      </c>
      <c r="N12" s="12" t="s">
        <v>44</v>
      </c>
      <c r="O12" s="3">
        <v>34000</v>
      </c>
      <c r="P12" s="12" t="s">
        <v>44</v>
      </c>
      <c r="Q12" s="3">
        <v>-1.4</v>
      </c>
      <c r="R12" s="14" t="s">
        <v>44</v>
      </c>
    </row>
    <row r="13" spans="1:18" ht="28.2" thickBot="1" x14ac:dyDescent="0.35">
      <c r="A13" s="5" t="s">
        <v>65</v>
      </c>
      <c r="B13" s="3" t="s">
        <v>21</v>
      </c>
      <c r="C13" s="3" t="s">
        <v>22</v>
      </c>
      <c r="D13" s="3" t="s">
        <v>23</v>
      </c>
      <c r="E13" s="3" t="s">
        <v>24</v>
      </c>
      <c r="F13" s="4">
        <v>46113</v>
      </c>
      <c r="G13" s="3" t="s">
        <v>18</v>
      </c>
      <c r="H13" s="3" t="s">
        <v>25</v>
      </c>
      <c r="I13" s="3">
        <v>-9</v>
      </c>
      <c r="J13" s="3">
        <v>0.6</v>
      </c>
      <c r="K13" s="3">
        <v>-7.6</v>
      </c>
      <c r="L13" s="3">
        <v>-7</v>
      </c>
      <c r="M13" s="3">
        <v>8.6</v>
      </c>
      <c r="N13" s="12" t="s">
        <v>44</v>
      </c>
      <c r="O13" s="3">
        <v>31500</v>
      </c>
      <c r="P13" s="12" t="s">
        <v>44</v>
      </c>
      <c r="Q13" s="3">
        <v>-2</v>
      </c>
      <c r="R13" s="14" t="s">
        <v>44</v>
      </c>
    </row>
    <row r="14" spans="1:18" ht="28.2" thickBot="1" x14ac:dyDescent="0.35">
      <c r="A14" s="5" t="s">
        <v>66</v>
      </c>
      <c r="B14" s="3" t="s">
        <v>27</v>
      </c>
      <c r="C14" s="3" t="s">
        <v>28</v>
      </c>
      <c r="D14" s="3" t="s">
        <v>29</v>
      </c>
      <c r="E14" s="3" t="s">
        <v>30</v>
      </c>
      <c r="F14" s="4">
        <v>46113</v>
      </c>
      <c r="G14" s="3" t="s">
        <v>18</v>
      </c>
      <c r="H14" s="3" t="s">
        <v>31</v>
      </c>
      <c r="I14" s="3">
        <v>-10.6</v>
      </c>
      <c r="J14" s="3">
        <v>0.6</v>
      </c>
      <c r="K14" s="3">
        <v>-9.1999999999999993</v>
      </c>
      <c r="L14" s="3">
        <v>-8.4</v>
      </c>
      <c r="M14" s="3">
        <v>8.6</v>
      </c>
      <c r="N14" s="12" t="s">
        <v>44</v>
      </c>
      <c r="O14" s="3">
        <v>29000</v>
      </c>
      <c r="P14" s="12" t="s">
        <v>44</v>
      </c>
      <c r="Q14" s="3">
        <v>-2.6</v>
      </c>
      <c r="R14" s="14" t="s">
        <v>44</v>
      </c>
    </row>
    <row r="15" spans="1:18" ht="28.2" thickBot="1" x14ac:dyDescent="0.35">
      <c r="A15" s="5" t="s">
        <v>67</v>
      </c>
      <c r="B15" s="3" t="s">
        <v>33</v>
      </c>
      <c r="C15" s="3" t="s">
        <v>15</v>
      </c>
      <c r="D15" s="3" t="s">
        <v>34</v>
      </c>
      <c r="E15" s="3" t="s">
        <v>17</v>
      </c>
      <c r="F15" s="4">
        <v>46113</v>
      </c>
      <c r="G15" s="3" t="s">
        <v>18</v>
      </c>
      <c r="H15" s="3" t="s">
        <v>19</v>
      </c>
      <c r="I15" s="3">
        <v>-12.2</v>
      </c>
      <c r="J15" s="3">
        <v>0.6</v>
      </c>
      <c r="K15" s="3">
        <v>-10.8</v>
      </c>
      <c r="L15" s="3">
        <v>-9.8000000000000007</v>
      </c>
      <c r="M15" s="3">
        <v>8.6</v>
      </c>
      <c r="N15" s="12" t="s">
        <v>44</v>
      </c>
      <c r="O15" s="3">
        <v>26500</v>
      </c>
      <c r="P15" s="12" t="s">
        <v>44</v>
      </c>
      <c r="Q15" s="3">
        <v>-3.2</v>
      </c>
      <c r="R15" s="14" t="s">
        <v>44</v>
      </c>
    </row>
    <row r="16" spans="1:18" ht="28.2" thickBot="1" x14ac:dyDescent="0.35">
      <c r="A16" s="9" t="s">
        <v>68</v>
      </c>
      <c r="B16" s="10" t="s">
        <v>36</v>
      </c>
      <c r="C16" s="10" t="s">
        <v>22</v>
      </c>
      <c r="D16" s="10" t="s">
        <v>37</v>
      </c>
      <c r="E16" s="10" t="s">
        <v>24</v>
      </c>
      <c r="F16" s="11">
        <v>46113</v>
      </c>
      <c r="G16" s="10" t="s">
        <v>18</v>
      </c>
      <c r="H16" s="10" t="s">
        <v>38</v>
      </c>
      <c r="I16" s="10">
        <v>-13.8</v>
      </c>
      <c r="J16" s="10">
        <v>0.6</v>
      </c>
      <c r="K16" s="10">
        <v>-12.4</v>
      </c>
      <c r="L16" s="10">
        <v>-11.2</v>
      </c>
      <c r="M16" s="10">
        <v>8.6</v>
      </c>
      <c r="N16" s="15" t="s">
        <v>44</v>
      </c>
      <c r="O16" s="10">
        <v>24000</v>
      </c>
      <c r="P16" s="15" t="s">
        <v>44</v>
      </c>
      <c r="Q16" s="10">
        <v>-3.8</v>
      </c>
      <c r="R16" s="16" t="s">
        <v>44</v>
      </c>
    </row>
    <row r="17" spans="1:18" ht="28.2" thickBot="1" x14ac:dyDescent="0.35">
      <c r="A17" s="5" t="s">
        <v>69</v>
      </c>
      <c r="B17" s="3" t="s">
        <v>14</v>
      </c>
      <c r="C17" s="3" t="s">
        <v>15</v>
      </c>
      <c r="D17" s="3" t="s">
        <v>16</v>
      </c>
      <c r="E17" s="3" t="s">
        <v>17</v>
      </c>
      <c r="F17" s="4">
        <v>46113</v>
      </c>
      <c r="G17" s="3" t="s">
        <v>18</v>
      </c>
      <c r="H17" s="3" t="s">
        <v>19</v>
      </c>
      <c r="I17" s="3">
        <v>-15.4</v>
      </c>
      <c r="J17" s="3">
        <v>0.6</v>
      </c>
      <c r="K17" s="3">
        <v>-14</v>
      </c>
      <c r="L17" s="3">
        <v>-12.6</v>
      </c>
      <c r="M17" s="3">
        <v>8.6</v>
      </c>
      <c r="N17" s="12" t="s">
        <v>44</v>
      </c>
      <c r="O17" s="3">
        <v>21500</v>
      </c>
      <c r="P17" s="12" t="s">
        <v>44</v>
      </c>
      <c r="Q17" s="3">
        <v>-4.3999999999999897</v>
      </c>
      <c r="R17" s="14" t="s">
        <v>44</v>
      </c>
    </row>
    <row r="18" spans="1:18" ht="28.2" thickBot="1" x14ac:dyDescent="0.35">
      <c r="A18" s="5" t="s">
        <v>70</v>
      </c>
      <c r="B18" s="3" t="s">
        <v>21</v>
      </c>
      <c r="C18" s="3" t="s">
        <v>22</v>
      </c>
      <c r="D18" s="3" t="s">
        <v>23</v>
      </c>
      <c r="E18" s="3" t="s">
        <v>24</v>
      </c>
      <c r="F18" s="4">
        <v>46113</v>
      </c>
      <c r="G18" s="3" t="s">
        <v>18</v>
      </c>
      <c r="H18" s="3" t="s">
        <v>25</v>
      </c>
      <c r="I18" s="3">
        <v>-17</v>
      </c>
      <c r="J18" s="3">
        <v>0.6</v>
      </c>
      <c r="K18" s="3">
        <v>-15.6</v>
      </c>
      <c r="L18" s="3">
        <v>-14</v>
      </c>
      <c r="M18" s="3">
        <v>8.6</v>
      </c>
      <c r="N18" s="12" t="s">
        <v>44</v>
      </c>
      <c r="O18" s="3">
        <v>19000</v>
      </c>
      <c r="P18" s="12" t="s">
        <v>44</v>
      </c>
      <c r="Q18" s="3">
        <v>-4.9999999999999902</v>
      </c>
      <c r="R18" s="14" t="s">
        <v>44</v>
      </c>
    </row>
    <row r="19" spans="1:18" ht="28.2" thickBot="1" x14ac:dyDescent="0.35">
      <c r="A19" s="5" t="s">
        <v>71</v>
      </c>
      <c r="B19" s="3" t="s">
        <v>27</v>
      </c>
      <c r="C19" s="3" t="s">
        <v>28</v>
      </c>
      <c r="D19" s="3" t="s">
        <v>29</v>
      </c>
      <c r="E19" s="3" t="s">
        <v>30</v>
      </c>
      <c r="F19" s="4">
        <v>46113</v>
      </c>
      <c r="G19" s="3" t="s">
        <v>18</v>
      </c>
      <c r="H19" s="3" t="s">
        <v>31</v>
      </c>
      <c r="I19" s="3">
        <v>-18.600000000000001</v>
      </c>
      <c r="J19" s="3">
        <v>0.6</v>
      </c>
      <c r="K19" s="3">
        <v>-17.2</v>
      </c>
      <c r="L19" s="3">
        <v>-15.4</v>
      </c>
      <c r="M19" s="3">
        <v>8.6</v>
      </c>
      <c r="N19" s="12" t="s">
        <v>44</v>
      </c>
      <c r="O19" s="3">
        <v>16500</v>
      </c>
      <c r="P19" s="12" t="s">
        <v>44</v>
      </c>
      <c r="Q19" s="3">
        <v>-5.6</v>
      </c>
      <c r="R19" s="14" t="s">
        <v>44</v>
      </c>
    </row>
    <row r="20" spans="1:18" ht="28.2" thickBot="1" x14ac:dyDescent="0.35">
      <c r="A20" s="5" t="s">
        <v>72</v>
      </c>
      <c r="B20" s="3" t="s">
        <v>33</v>
      </c>
      <c r="C20" s="3" t="s">
        <v>15</v>
      </c>
      <c r="D20" s="3" t="s">
        <v>34</v>
      </c>
      <c r="E20" s="3" t="s">
        <v>17</v>
      </c>
      <c r="F20" s="4">
        <v>46113</v>
      </c>
      <c r="G20" s="3" t="s">
        <v>18</v>
      </c>
      <c r="H20" s="3" t="s">
        <v>19</v>
      </c>
      <c r="I20" s="3">
        <v>-20.2</v>
      </c>
      <c r="J20" s="3">
        <v>0.59999999999999898</v>
      </c>
      <c r="K20" s="3">
        <v>-18.8</v>
      </c>
      <c r="L20" s="3">
        <v>-16.8</v>
      </c>
      <c r="M20" s="3">
        <v>8.6</v>
      </c>
      <c r="N20" s="12" t="s">
        <v>44</v>
      </c>
      <c r="O20" s="3">
        <v>14000</v>
      </c>
      <c r="P20" s="12" t="s">
        <v>44</v>
      </c>
      <c r="Q20" s="3">
        <v>-6.2</v>
      </c>
      <c r="R20" s="14" t="s">
        <v>44</v>
      </c>
    </row>
    <row r="21" spans="1:18" ht="28.2" thickBot="1" x14ac:dyDescent="0.35">
      <c r="A21" s="9" t="s">
        <v>73</v>
      </c>
      <c r="B21" s="10" t="s">
        <v>36</v>
      </c>
      <c r="C21" s="10" t="s">
        <v>22</v>
      </c>
      <c r="D21" s="10" t="s">
        <v>37</v>
      </c>
      <c r="E21" s="10" t="s">
        <v>24</v>
      </c>
      <c r="F21" s="11">
        <v>46113</v>
      </c>
      <c r="G21" s="10" t="s">
        <v>18</v>
      </c>
      <c r="H21" s="10" t="s">
        <v>38</v>
      </c>
      <c r="I21" s="10">
        <v>-21.8</v>
      </c>
      <c r="J21" s="10">
        <v>0.59999999999999898</v>
      </c>
      <c r="K21" s="10">
        <v>-20.399999999999999</v>
      </c>
      <c r="L21" s="10">
        <v>-18.2</v>
      </c>
      <c r="M21" s="10">
        <v>8.6</v>
      </c>
      <c r="N21" s="15" t="s">
        <v>44</v>
      </c>
      <c r="O21" s="10">
        <v>11500</v>
      </c>
      <c r="P21" s="15" t="s">
        <v>44</v>
      </c>
      <c r="Q21" s="10">
        <v>-6.8</v>
      </c>
      <c r="R21" s="16" t="s">
        <v>44</v>
      </c>
    </row>
    <row r="22" spans="1:18" ht="28.2" thickBot="1" x14ac:dyDescent="0.35">
      <c r="A22" s="5" t="s">
        <v>74</v>
      </c>
      <c r="B22" s="3" t="s">
        <v>14</v>
      </c>
      <c r="C22" s="3" t="s">
        <v>15</v>
      </c>
      <c r="D22" s="3" t="s">
        <v>16</v>
      </c>
      <c r="E22" s="3" t="s">
        <v>17</v>
      </c>
      <c r="F22" s="4">
        <v>46113</v>
      </c>
      <c r="G22" s="3" t="s">
        <v>18</v>
      </c>
      <c r="H22" s="3" t="s">
        <v>19</v>
      </c>
      <c r="I22" s="3">
        <v>-23.4</v>
      </c>
      <c r="J22" s="3">
        <v>0.59999999999999898</v>
      </c>
      <c r="K22" s="3">
        <v>-22</v>
      </c>
      <c r="L22" s="3">
        <v>-19.600000000000001</v>
      </c>
      <c r="M22" s="3">
        <v>8.6</v>
      </c>
      <c r="N22" s="12" t="s">
        <v>44</v>
      </c>
      <c r="O22" s="3">
        <v>8999.9999999999909</v>
      </c>
      <c r="P22" s="12" t="s">
        <v>44</v>
      </c>
      <c r="Q22" s="3">
        <v>-7.4</v>
      </c>
      <c r="R22" s="14" t="s">
        <v>44</v>
      </c>
    </row>
    <row r="23" spans="1:18" ht="28.2" thickBot="1" x14ac:dyDescent="0.35">
      <c r="A23" s="5" t="s">
        <v>75</v>
      </c>
      <c r="B23" s="3" t="s">
        <v>21</v>
      </c>
      <c r="C23" s="3" t="s">
        <v>22</v>
      </c>
      <c r="D23" s="3" t="s">
        <v>23</v>
      </c>
      <c r="E23" s="3" t="s">
        <v>24</v>
      </c>
      <c r="F23" s="4">
        <v>46113</v>
      </c>
      <c r="G23" s="3" t="s">
        <v>18</v>
      </c>
      <c r="H23" s="3" t="s">
        <v>25</v>
      </c>
      <c r="I23" s="3">
        <v>-25</v>
      </c>
      <c r="J23" s="3">
        <v>0.59999999999999898</v>
      </c>
      <c r="K23" s="3">
        <v>-23.6</v>
      </c>
      <c r="L23" s="3">
        <v>-21</v>
      </c>
      <c r="M23" s="3">
        <v>8.6</v>
      </c>
      <c r="N23" s="12" t="s">
        <v>44</v>
      </c>
      <c r="O23" s="3">
        <v>6499.99999999999</v>
      </c>
      <c r="P23" s="12" t="s">
        <v>44</v>
      </c>
      <c r="Q23" s="3">
        <v>-8</v>
      </c>
      <c r="R23" s="14" t="s">
        <v>44</v>
      </c>
    </row>
    <row r="24" spans="1:18" ht="28.2" thickBot="1" x14ac:dyDescent="0.35">
      <c r="A24" s="5" t="s">
        <v>76</v>
      </c>
      <c r="B24" s="3" t="s">
        <v>27</v>
      </c>
      <c r="C24" s="3" t="s">
        <v>28</v>
      </c>
      <c r="D24" s="3" t="s">
        <v>29</v>
      </c>
      <c r="E24" s="3" t="s">
        <v>30</v>
      </c>
      <c r="F24" s="4">
        <v>46113</v>
      </c>
      <c r="G24" s="3" t="s">
        <v>18</v>
      </c>
      <c r="H24" s="3" t="s">
        <v>31</v>
      </c>
      <c r="I24" s="3">
        <v>-26.6</v>
      </c>
      <c r="J24" s="3">
        <v>0.59999999999999898</v>
      </c>
      <c r="K24" s="3">
        <v>-25.2</v>
      </c>
      <c r="L24" s="3">
        <v>-22.4</v>
      </c>
      <c r="M24" s="3">
        <v>8.6</v>
      </c>
      <c r="N24" s="12" t="s">
        <v>44</v>
      </c>
      <c r="O24" s="3">
        <v>3999.99999999999</v>
      </c>
      <c r="P24" s="12" t="s">
        <v>44</v>
      </c>
      <c r="Q24" s="3">
        <v>-8.6</v>
      </c>
      <c r="R24" s="14" t="s">
        <v>44</v>
      </c>
    </row>
    <row r="25" spans="1:18" ht="28.2" thickBot="1" x14ac:dyDescent="0.35">
      <c r="A25" s="5" t="s">
        <v>77</v>
      </c>
      <c r="B25" s="3" t="s">
        <v>33</v>
      </c>
      <c r="C25" s="3" t="s">
        <v>15</v>
      </c>
      <c r="D25" s="3" t="s">
        <v>34</v>
      </c>
      <c r="E25" s="3" t="s">
        <v>17</v>
      </c>
      <c r="F25" s="4">
        <v>46113</v>
      </c>
      <c r="G25" s="3" t="s">
        <v>18</v>
      </c>
      <c r="H25" s="3" t="s">
        <v>19</v>
      </c>
      <c r="I25" s="3">
        <v>-28.2</v>
      </c>
      <c r="J25" s="3">
        <v>0.59999999999999898</v>
      </c>
      <c r="K25" s="3">
        <v>-26.8</v>
      </c>
      <c r="L25" s="3">
        <v>-23.8</v>
      </c>
      <c r="M25" s="3">
        <v>8.6</v>
      </c>
      <c r="N25" s="12" t="s">
        <v>44</v>
      </c>
      <c r="O25" s="3">
        <v>1499.99999999999</v>
      </c>
      <c r="P25" s="12" t="s">
        <v>44</v>
      </c>
      <c r="Q25" s="3">
        <v>-9.1999999999999993</v>
      </c>
      <c r="R25" s="14" t="s">
        <v>44</v>
      </c>
    </row>
    <row r="26" spans="1:18" ht="28.2" thickBot="1" x14ac:dyDescent="0.35">
      <c r="A26" s="9" t="s">
        <v>78</v>
      </c>
      <c r="B26" s="10" t="s">
        <v>36</v>
      </c>
      <c r="C26" s="10" t="s">
        <v>22</v>
      </c>
      <c r="D26" s="10" t="s">
        <v>37</v>
      </c>
      <c r="E26" s="10" t="s">
        <v>24</v>
      </c>
      <c r="F26" s="11">
        <v>46113</v>
      </c>
      <c r="G26" s="10" t="s">
        <v>18</v>
      </c>
      <c r="H26" s="10" t="s">
        <v>38</v>
      </c>
      <c r="I26" s="10">
        <v>-29.8</v>
      </c>
      <c r="J26" s="10">
        <v>0.59999999999999898</v>
      </c>
      <c r="K26" s="10">
        <v>-28.4</v>
      </c>
      <c r="L26" s="10">
        <v>-25.2</v>
      </c>
      <c r="M26" s="10">
        <v>8.6</v>
      </c>
      <c r="N26" s="15" t="s">
        <v>44</v>
      </c>
      <c r="O26" s="10">
        <v>-1000.00000000001</v>
      </c>
      <c r="P26" s="15" t="s">
        <v>44</v>
      </c>
      <c r="Q26" s="10">
        <v>-9.8000000000000007</v>
      </c>
      <c r="R26" s="16" t="s">
        <v>44</v>
      </c>
    </row>
    <row r="27" spans="1:18" ht="28.2" thickBot="1" x14ac:dyDescent="0.35">
      <c r="A27" s="5" t="s">
        <v>79</v>
      </c>
      <c r="B27" s="3" t="s">
        <v>14</v>
      </c>
      <c r="C27" s="3" t="s">
        <v>15</v>
      </c>
      <c r="D27" s="3" t="s">
        <v>16</v>
      </c>
      <c r="E27" s="3" t="s">
        <v>17</v>
      </c>
      <c r="F27" s="4">
        <v>46113</v>
      </c>
      <c r="G27" s="3" t="s">
        <v>18</v>
      </c>
      <c r="H27" s="3" t="s">
        <v>19</v>
      </c>
      <c r="I27" s="3">
        <v>-31.4</v>
      </c>
      <c r="J27" s="3">
        <v>0.59999999999999898</v>
      </c>
      <c r="K27" s="3">
        <v>-30</v>
      </c>
      <c r="L27" s="3">
        <v>-26.6</v>
      </c>
      <c r="M27" s="3">
        <v>8.6</v>
      </c>
      <c r="N27" s="12" t="s">
        <v>44</v>
      </c>
      <c r="O27" s="3">
        <v>-3500.00000000001</v>
      </c>
      <c r="P27" s="12" t="s">
        <v>44</v>
      </c>
      <c r="Q27" s="3">
        <v>-10.4</v>
      </c>
      <c r="R27" s="14" t="s">
        <v>44</v>
      </c>
    </row>
    <row r="28" spans="1:18" ht="28.2" thickBot="1" x14ac:dyDescent="0.35">
      <c r="A28" s="5" t="s">
        <v>80</v>
      </c>
      <c r="B28" s="3" t="s">
        <v>21</v>
      </c>
      <c r="C28" s="3" t="s">
        <v>22</v>
      </c>
      <c r="D28" s="3" t="s">
        <v>23</v>
      </c>
      <c r="E28" s="3" t="s">
        <v>24</v>
      </c>
      <c r="F28" s="4">
        <v>46113</v>
      </c>
      <c r="G28" s="3" t="s">
        <v>18</v>
      </c>
      <c r="H28" s="3" t="s">
        <v>25</v>
      </c>
      <c r="I28" s="3">
        <v>-33</v>
      </c>
      <c r="J28" s="3">
        <v>0.59999999999999898</v>
      </c>
      <c r="K28" s="3">
        <v>-31.6</v>
      </c>
      <c r="L28" s="3">
        <v>-28</v>
      </c>
      <c r="M28" s="3">
        <v>8.6</v>
      </c>
      <c r="N28" s="12" t="s">
        <v>44</v>
      </c>
      <c r="O28" s="3">
        <v>-6000.00000000001</v>
      </c>
      <c r="P28" s="12" t="s">
        <v>44</v>
      </c>
      <c r="Q28" s="3">
        <v>-11</v>
      </c>
      <c r="R28" s="14" t="s">
        <v>44</v>
      </c>
    </row>
    <row r="29" spans="1:18" ht="28.2" thickBot="1" x14ac:dyDescent="0.35">
      <c r="A29" s="5" t="s">
        <v>81</v>
      </c>
      <c r="B29" s="3" t="s">
        <v>27</v>
      </c>
      <c r="C29" s="3" t="s">
        <v>28</v>
      </c>
      <c r="D29" s="3" t="s">
        <v>29</v>
      </c>
      <c r="E29" s="3" t="s">
        <v>30</v>
      </c>
      <c r="F29" s="4">
        <v>46113</v>
      </c>
      <c r="G29" s="3" t="s">
        <v>18</v>
      </c>
      <c r="H29" s="3" t="s">
        <v>31</v>
      </c>
      <c r="I29" s="3">
        <v>-34.6</v>
      </c>
      <c r="J29" s="3">
        <v>0.59999999999999898</v>
      </c>
      <c r="K29" s="3">
        <v>-33.200000000000003</v>
      </c>
      <c r="L29" s="3">
        <v>-29.4</v>
      </c>
      <c r="M29" s="3">
        <v>8.6</v>
      </c>
      <c r="N29" s="12" t="s">
        <v>44</v>
      </c>
      <c r="O29" s="3">
        <v>-8500.0000000000091</v>
      </c>
      <c r="P29" s="12" t="s">
        <v>44</v>
      </c>
      <c r="Q29" s="3">
        <v>-11.6</v>
      </c>
      <c r="R29" s="14" t="s">
        <v>44</v>
      </c>
    </row>
    <row r="30" spans="1:18" ht="28.2" thickBot="1" x14ac:dyDescent="0.35">
      <c r="A30" s="5" t="s">
        <v>82</v>
      </c>
      <c r="B30" s="3" t="s">
        <v>33</v>
      </c>
      <c r="C30" s="3" t="s">
        <v>15</v>
      </c>
      <c r="D30" s="3" t="s">
        <v>34</v>
      </c>
      <c r="E30" s="3" t="s">
        <v>17</v>
      </c>
      <c r="F30" s="4">
        <v>46113</v>
      </c>
      <c r="G30" s="3" t="s">
        <v>18</v>
      </c>
      <c r="H30" s="3" t="s">
        <v>19</v>
      </c>
      <c r="I30" s="3">
        <v>-36.200000000000003</v>
      </c>
      <c r="J30" s="3">
        <v>0.59999999999999898</v>
      </c>
      <c r="K30" s="3">
        <v>-34.799999999999997</v>
      </c>
      <c r="L30" s="3">
        <v>-30.8</v>
      </c>
      <c r="M30" s="3">
        <v>8.6</v>
      </c>
      <c r="N30" s="12" t="s">
        <v>44</v>
      </c>
      <c r="O30" s="3">
        <v>-10999.9999999999</v>
      </c>
      <c r="P30" s="12" t="s">
        <v>44</v>
      </c>
      <c r="Q30" s="3">
        <v>-12.2</v>
      </c>
      <c r="R30" s="14" t="s">
        <v>44</v>
      </c>
    </row>
    <row r="31" spans="1:18" ht="28.2" thickBot="1" x14ac:dyDescent="0.35">
      <c r="A31" s="9" t="s">
        <v>83</v>
      </c>
      <c r="B31" s="10" t="s">
        <v>36</v>
      </c>
      <c r="C31" s="10" t="s">
        <v>22</v>
      </c>
      <c r="D31" s="10" t="s">
        <v>37</v>
      </c>
      <c r="E31" s="10" t="s">
        <v>24</v>
      </c>
      <c r="F31" s="11">
        <v>46113</v>
      </c>
      <c r="G31" s="10" t="s">
        <v>18</v>
      </c>
      <c r="H31" s="10" t="s">
        <v>38</v>
      </c>
      <c r="I31" s="10">
        <v>-37.799999999999997</v>
      </c>
      <c r="J31" s="10">
        <v>0.59999999999999898</v>
      </c>
      <c r="K31" s="10">
        <v>-36.4</v>
      </c>
      <c r="L31" s="10">
        <v>-32.200000000000003</v>
      </c>
      <c r="M31" s="10">
        <v>8.6</v>
      </c>
      <c r="N31" s="15" t="s">
        <v>44</v>
      </c>
      <c r="O31" s="10">
        <v>-13499.9999999999</v>
      </c>
      <c r="P31" s="15" t="s">
        <v>44</v>
      </c>
      <c r="Q31" s="10">
        <v>-12.8</v>
      </c>
      <c r="R31" s="16" t="s">
        <v>44</v>
      </c>
    </row>
    <row r="32" spans="1:18" ht="28.2" thickBot="1" x14ac:dyDescent="0.35">
      <c r="A32" s="5" t="s">
        <v>84</v>
      </c>
      <c r="B32" s="3" t="s">
        <v>14</v>
      </c>
      <c r="C32" s="3" t="s">
        <v>15</v>
      </c>
      <c r="D32" s="3" t="s">
        <v>16</v>
      </c>
      <c r="E32" s="3" t="s">
        <v>17</v>
      </c>
      <c r="F32" s="4">
        <v>46113</v>
      </c>
      <c r="G32" s="3" t="s">
        <v>18</v>
      </c>
      <c r="H32" s="3" t="s">
        <v>19</v>
      </c>
      <c r="I32" s="3">
        <v>-39.4</v>
      </c>
      <c r="J32" s="3">
        <v>0.59999999999999898</v>
      </c>
      <c r="K32" s="3">
        <v>-38</v>
      </c>
      <c r="L32" s="3">
        <v>-33.6</v>
      </c>
      <c r="M32" s="3">
        <v>8.6</v>
      </c>
      <c r="N32" s="12" t="s">
        <v>44</v>
      </c>
      <c r="O32" s="3">
        <v>-15999.9999999999</v>
      </c>
      <c r="P32" s="12" t="s">
        <v>44</v>
      </c>
      <c r="Q32" s="3">
        <v>-13.4</v>
      </c>
      <c r="R32" s="14" t="s">
        <v>44</v>
      </c>
    </row>
    <row r="33" spans="1:18" ht="28.2" thickBot="1" x14ac:dyDescent="0.35">
      <c r="A33" s="5" t="s">
        <v>85</v>
      </c>
      <c r="B33" s="3" t="s">
        <v>21</v>
      </c>
      <c r="C33" s="3" t="s">
        <v>22</v>
      </c>
      <c r="D33" s="3" t="s">
        <v>23</v>
      </c>
      <c r="E33" s="3" t="s">
        <v>24</v>
      </c>
      <c r="F33" s="4">
        <v>46113</v>
      </c>
      <c r="G33" s="3" t="s">
        <v>18</v>
      </c>
      <c r="H33" s="3" t="s">
        <v>25</v>
      </c>
      <c r="I33" s="3">
        <v>-41</v>
      </c>
      <c r="J33" s="3">
        <v>0.59999999999999898</v>
      </c>
      <c r="K33" s="3">
        <v>-39.6</v>
      </c>
      <c r="L33" s="3">
        <v>-35</v>
      </c>
      <c r="M33" s="3">
        <v>8.6</v>
      </c>
      <c r="N33" s="12" t="s">
        <v>44</v>
      </c>
      <c r="O33" s="3">
        <v>-18499.999999999902</v>
      </c>
      <c r="P33" s="12" t="s">
        <v>44</v>
      </c>
      <c r="Q33" s="3">
        <v>-14</v>
      </c>
      <c r="R33" s="14" t="s">
        <v>44</v>
      </c>
    </row>
    <row r="34" spans="1:18" ht="28.2" thickBot="1" x14ac:dyDescent="0.35">
      <c r="A34" s="5" t="s">
        <v>86</v>
      </c>
      <c r="B34" s="3" t="s">
        <v>27</v>
      </c>
      <c r="C34" s="3" t="s">
        <v>28</v>
      </c>
      <c r="D34" s="3" t="s">
        <v>29</v>
      </c>
      <c r="E34" s="3" t="s">
        <v>30</v>
      </c>
      <c r="F34" s="4">
        <v>46113</v>
      </c>
      <c r="G34" s="3" t="s">
        <v>18</v>
      </c>
      <c r="H34" s="3" t="s">
        <v>31</v>
      </c>
      <c r="I34" s="3">
        <v>-42.6</v>
      </c>
      <c r="J34" s="3">
        <v>0.59999999999999898</v>
      </c>
      <c r="K34" s="3">
        <v>-41.2</v>
      </c>
      <c r="L34" s="3">
        <v>-36.4</v>
      </c>
      <c r="M34" s="3">
        <v>8.6</v>
      </c>
      <c r="N34" s="12" t="s">
        <v>44</v>
      </c>
      <c r="O34" s="3">
        <v>-20999.999999999902</v>
      </c>
      <c r="P34" s="12" t="s">
        <v>44</v>
      </c>
      <c r="Q34" s="3">
        <v>-14.6</v>
      </c>
      <c r="R34" s="14" t="s">
        <v>44</v>
      </c>
    </row>
    <row r="35" spans="1:18" ht="28.2" thickBot="1" x14ac:dyDescent="0.35">
      <c r="A35" s="5" t="s">
        <v>87</v>
      </c>
      <c r="B35" s="3" t="s">
        <v>33</v>
      </c>
      <c r="C35" s="3" t="s">
        <v>15</v>
      </c>
      <c r="D35" s="3" t="s">
        <v>34</v>
      </c>
      <c r="E35" s="3" t="s">
        <v>17</v>
      </c>
      <c r="F35" s="4">
        <v>46113</v>
      </c>
      <c r="G35" s="3" t="s">
        <v>18</v>
      </c>
      <c r="H35" s="3" t="s">
        <v>19</v>
      </c>
      <c r="I35" s="3">
        <v>-44.2</v>
      </c>
      <c r="J35" s="3">
        <v>0.59999999999999898</v>
      </c>
      <c r="K35" s="3">
        <v>-42.8</v>
      </c>
      <c r="L35" s="3">
        <v>-37.799999999999997</v>
      </c>
      <c r="M35" s="3">
        <v>8.6</v>
      </c>
      <c r="N35" s="12" t="s">
        <v>44</v>
      </c>
      <c r="O35" s="3">
        <v>-23499.999999999902</v>
      </c>
      <c r="P35" s="12" t="s">
        <v>44</v>
      </c>
      <c r="Q35" s="3">
        <v>-15.2</v>
      </c>
      <c r="R35" s="14" t="s">
        <v>44</v>
      </c>
    </row>
    <row r="36" spans="1:18" ht="28.2" thickBot="1" x14ac:dyDescent="0.35">
      <c r="A36" s="9" t="s">
        <v>88</v>
      </c>
      <c r="B36" s="10" t="s">
        <v>36</v>
      </c>
      <c r="C36" s="10" t="s">
        <v>22</v>
      </c>
      <c r="D36" s="10" t="s">
        <v>37</v>
      </c>
      <c r="E36" s="10" t="s">
        <v>24</v>
      </c>
      <c r="F36" s="11">
        <v>46113</v>
      </c>
      <c r="G36" s="10" t="s">
        <v>18</v>
      </c>
      <c r="H36" s="10" t="s">
        <v>38</v>
      </c>
      <c r="I36" s="10">
        <v>-45.8</v>
      </c>
      <c r="J36" s="10">
        <v>0.59999999999999898</v>
      </c>
      <c r="K36" s="10">
        <v>-44.4</v>
      </c>
      <c r="L36" s="10">
        <v>-39.200000000000003</v>
      </c>
      <c r="M36" s="10">
        <v>8.6</v>
      </c>
      <c r="N36" s="15" t="s">
        <v>44</v>
      </c>
      <c r="O36" s="10">
        <v>-25999.999999999902</v>
      </c>
      <c r="P36" s="15" t="s">
        <v>44</v>
      </c>
      <c r="Q36" s="10">
        <v>-15.8</v>
      </c>
      <c r="R36" s="16" t="s">
        <v>44</v>
      </c>
    </row>
    <row r="37" spans="1:18" ht="28.2" thickBot="1" x14ac:dyDescent="0.35">
      <c r="A37" s="5" t="s">
        <v>89</v>
      </c>
      <c r="B37" s="3" t="s">
        <v>14</v>
      </c>
      <c r="C37" s="3" t="s">
        <v>15</v>
      </c>
      <c r="D37" s="3" t="s">
        <v>16</v>
      </c>
      <c r="E37" s="3" t="s">
        <v>17</v>
      </c>
      <c r="F37" s="4">
        <v>46113</v>
      </c>
      <c r="G37" s="3" t="s">
        <v>18</v>
      </c>
      <c r="H37" s="3" t="s">
        <v>19</v>
      </c>
      <c r="I37" s="3">
        <v>-47.4</v>
      </c>
      <c r="J37" s="3">
        <v>0.59999999999999898</v>
      </c>
      <c r="K37" s="3">
        <v>-46</v>
      </c>
      <c r="L37" s="3">
        <v>-40.6</v>
      </c>
      <c r="M37" s="3">
        <v>8.6</v>
      </c>
      <c r="N37" s="12" t="s">
        <v>44</v>
      </c>
      <c r="O37" s="3">
        <v>-28499.999999999902</v>
      </c>
      <c r="P37" s="12" t="s">
        <v>44</v>
      </c>
      <c r="Q37" s="3">
        <v>-16.399999999999999</v>
      </c>
      <c r="R37" s="14" t="s">
        <v>44</v>
      </c>
    </row>
    <row r="38" spans="1:18" ht="28.2" thickBot="1" x14ac:dyDescent="0.35">
      <c r="A38" s="5" t="s">
        <v>90</v>
      </c>
      <c r="B38" s="3" t="s">
        <v>21</v>
      </c>
      <c r="C38" s="3" t="s">
        <v>22</v>
      </c>
      <c r="D38" s="3" t="s">
        <v>23</v>
      </c>
      <c r="E38" s="3" t="s">
        <v>24</v>
      </c>
      <c r="F38" s="4">
        <v>46113</v>
      </c>
      <c r="G38" s="3" t="s">
        <v>18</v>
      </c>
      <c r="H38" s="3" t="s">
        <v>25</v>
      </c>
      <c r="I38" s="3">
        <v>-49</v>
      </c>
      <c r="J38" s="3">
        <v>0.59999999999999898</v>
      </c>
      <c r="K38" s="3">
        <v>-47.6</v>
      </c>
      <c r="L38" s="3">
        <v>-42</v>
      </c>
      <c r="M38" s="3">
        <v>8.6</v>
      </c>
      <c r="N38" s="12" t="s">
        <v>44</v>
      </c>
      <c r="O38" s="3">
        <v>-30999.999999999902</v>
      </c>
      <c r="P38" s="12" t="s">
        <v>44</v>
      </c>
      <c r="Q38" s="3">
        <v>-17</v>
      </c>
      <c r="R38" s="14" t="s">
        <v>44</v>
      </c>
    </row>
    <row r="39" spans="1:18" ht="28.2" thickBot="1" x14ac:dyDescent="0.35">
      <c r="A39" s="5" t="s">
        <v>91</v>
      </c>
      <c r="B39" s="3" t="s">
        <v>27</v>
      </c>
      <c r="C39" s="3" t="s">
        <v>28</v>
      </c>
      <c r="D39" s="3" t="s">
        <v>29</v>
      </c>
      <c r="E39" s="3" t="s">
        <v>30</v>
      </c>
      <c r="F39" s="4">
        <v>46113</v>
      </c>
      <c r="G39" s="3" t="s">
        <v>18</v>
      </c>
      <c r="H39" s="3" t="s">
        <v>31</v>
      </c>
      <c r="I39" s="3">
        <v>-50.6</v>
      </c>
      <c r="J39" s="3">
        <v>0.59999999999999898</v>
      </c>
      <c r="K39" s="3">
        <v>-49.2</v>
      </c>
      <c r="L39" s="3">
        <v>-43.4</v>
      </c>
      <c r="M39" s="3">
        <v>8.6</v>
      </c>
      <c r="N39" s="12" t="s">
        <v>44</v>
      </c>
      <c r="O39" s="3">
        <v>-33499.999999999898</v>
      </c>
      <c r="P39" s="12" t="s">
        <v>44</v>
      </c>
      <c r="Q39" s="3">
        <v>-17.600000000000001</v>
      </c>
      <c r="R39" s="14" t="s">
        <v>44</v>
      </c>
    </row>
    <row r="40" spans="1:18" ht="28.2" thickBot="1" x14ac:dyDescent="0.35">
      <c r="A40" s="5" t="s">
        <v>92</v>
      </c>
      <c r="B40" s="3" t="s">
        <v>33</v>
      </c>
      <c r="C40" s="3" t="s">
        <v>15</v>
      </c>
      <c r="D40" s="3" t="s">
        <v>34</v>
      </c>
      <c r="E40" s="3" t="s">
        <v>17</v>
      </c>
      <c r="F40" s="4">
        <v>46113</v>
      </c>
      <c r="G40" s="3" t="s">
        <v>18</v>
      </c>
      <c r="H40" s="3" t="s">
        <v>19</v>
      </c>
      <c r="I40" s="3">
        <v>-52.2</v>
      </c>
      <c r="J40" s="3">
        <v>0.59999999999999898</v>
      </c>
      <c r="K40" s="3">
        <v>-50.8</v>
      </c>
      <c r="L40" s="3">
        <v>-44.8</v>
      </c>
      <c r="M40" s="3">
        <v>8.6</v>
      </c>
      <c r="N40" s="12" t="s">
        <v>44</v>
      </c>
      <c r="O40" s="3">
        <v>-35999.999999999898</v>
      </c>
      <c r="P40" s="12" t="s">
        <v>44</v>
      </c>
      <c r="Q40" s="3">
        <v>-18.2</v>
      </c>
      <c r="R40" s="14" t="s">
        <v>44</v>
      </c>
    </row>
    <row r="41" spans="1:18" ht="28.2" thickBot="1" x14ac:dyDescent="0.35">
      <c r="A41" s="9" t="s">
        <v>93</v>
      </c>
      <c r="B41" s="10" t="s">
        <v>36</v>
      </c>
      <c r="C41" s="10" t="s">
        <v>22</v>
      </c>
      <c r="D41" s="10" t="s">
        <v>37</v>
      </c>
      <c r="E41" s="10" t="s">
        <v>24</v>
      </c>
      <c r="F41" s="11">
        <v>46113</v>
      </c>
      <c r="G41" s="10" t="s">
        <v>18</v>
      </c>
      <c r="H41" s="10" t="s">
        <v>38</v>
      </c>
      <c r="I41" s="10">
        <v>-53.8</v>
      </c>
      <c r="J41" s="10">
        <v>0.59999999999999898</v>
      </c>
      <c r="K41" s="10">
        <v>-52.4</v>
      </c>
      <c r="L41" s="10">
        <v>-46.2</v>
      </c>
      <c r="M41" s="10">
        <v>8.6</v>
      </c>
      <c r="N41" s="15" t="s">
        <v>44</v>
      </c>
      <c r="O41" s="10">
        <v>-38499.999999999898</v>
      </c>
      <c r="P41" s="15" t="s">
        <v>44</v>
      </c>
      <c r="Q41" s="10">
        <v>-18.8</v>
      </c>
      <c r="R41" s="16" t="s">
        <v>44</v>
      </c>
    </row>
    <row r="42" spans="1:18" ht="28.2" thickBot="1" x14ac:dyDescent="0.35">
      <c r="A42" s="5" t="s">
        <v>94</v>
      </c>
      <c r="B42" s="3" t="s">
        <v>14</v>
      </c>
      <c r="C42" s="3" t="s">
        <v>15</v>
      </c>
      <c r="D42" s="3" t="s">
        <v>16</v>
      </c>
      <c r="E42" s="3" t="s">
        <v>17</v>
      </c>
      <c r="F42" s="4">
        <v>46113</v>
      </c>
      <c r="G42" s="3" t="s">
        <v>18</v>
      </c>
      <c r="H42" s="3" t="s">
        <v>19</v>
      </c>
      <c r="I42" s="3">
        <v>-55.4</v>
      </c>
      <c r="J42" s="3">
        <v>0.59999999999999898</v>
      </c>
      <c r="K42" s="3">
        <v>-54</v>
      </c>
      <c r="L42" s="3">
        <v>-47.6</v>
      </c>
      <c r="M42" s="3">
        <v>8.6</v>
      </c>
      <c r="N42" s="12" t="s">
        <v>44</v>
      </c>
      <c r="O42" s="3">
        <v>-40999.999999999898</v>
      </c>
      <c r="P42" s="12" t="s">
        <v>44</v>
      </c>
      <c r="Q42" s="3">
        <v>-19.399999999999999</v>
      </c>
      <c r="R42" s="14" t="s">
        <v>44</v>
      </c>
    </row>
    <row r="43" spans="1:18" ht="28.2" thickBot="1" x14ac:dyDescent="0.35">
      <c r="A43" s="5" t="s">
        <v>95</v>
      </c>
      <c r="B43" s="3" t="s">
        <v>21</v>
      </c>
      <c r="C43" s="3" t="s">
        <v>22</v>
      </c>
      <c r="D43" s="3" t="s">
        <v>23</v>
      </c>
      <c r="E43" s="3" t="s">
        <v>24</v>
      </c>
      <c r="F43" s="4">
        <v>46113</v>
      </c>
      <c r="G43" s="3" t="s">
        <v>18</v>
      </c>
      <c r="H43" s="3" t="s">
        <v>25</v>
      </c>
      <c r="I43" s="3">
        <v>-57</v>
      </c>
      <c r="J43" s="3">
        <v>0.59999999999999898</v>
      </c>
      <c r="K43" s="3">
        <v>-55.6</v>
      </c>
      <c r="L43" s="3">
        <v>-49</v>
      </c>
      <c r="M43" s="3">
        <v>8.6</v>
      </c>
      <c r="N43" s="12" t="s">
        <v>44</v>
      </c>
      <c r="O43" s="3">
        <v>-43500</v>
      </c>
      <c r="P43" s="12" t="s">
        <v>44</v>
      </c>
      <c r="Q43" s="3">
        <v>-20</v>
      </c>
      <c r="R43" s="14" t="s">
        <v>44</v>
      </c>
    </row>
    <row r="44" spans="1:18" ht="28.2" thickBot="1" x14ac:dyDescent="0.35">
      <c r="A44" s="5" t="s">
        <v>96</v>
      </c>
      <c r="B44" s="3" t="s">
        <v>27</v>
      </c>
      <c r="C44" s="3" t="s">
        <v>28</v>
      </c>
      <c r="D44" s="3" t="s">
        <v>29</v>
      </c>
      <c r="E44" s="3" t="s">
        <v>30</v>
      </c>
      <c r="F44" s="4">
        <v>46113</v>
      </c>
      <c r="G44" s="3" t="s">
        <v>18</v>
      </c>
      <c r="H44" s="3" t="s">
        <v>31</v>
      </c>
      <c r="I44" s="3">
        <v>-58.6</v>
      </c>
      <c r="J44" s="3">
        <v>0.59999999999999898</v>
      </c>
      <c r="K44" s="3">
        <v>-57.2</v>
      </c>
      <c r="L44" s="3">
        <v>-50.4</v>
      </c>
      <c r="M44" s="3">
        <v>8.6</v>
      </c>
      <c r="N44" s="12" t="s">
        <v>44</v>
      </c>
      <c r="O44" s="3">
        <v>-46000</v>
      </c>
      <c r="P44" s="12" t="s">
        <v>44</v>
      </c>
      <c r="Q44" s="3">
        <v>-20.6</v>
      </c>
      <c r="R44" s="14" t="s">
        <v>44</v>
      </c>
    </row>
    <row r="45" spans="1:18" ht="28.2" thickBot="1" x14ac:dyDescent="0.35">
      <c r="A45" s="5" t="s">
        <v>97</v>
      </c>
      <c r="B45" s="3" t="s">
        <v>33</v>
      </c>
      <c r="C45" s="3" t="s">
        <v>15</v>
      </c>
      <c r="D45" s="3" t="s">
        <v>34</v>
      </c>
      <c r="E45" s="3" t="s">
        <v>17</v>
      </c>
      <c r="F45" s="4">
        <v>46113</v>
      </c>
      <c r="G45" s="3" t="s">
        <v>18</v>
      </c>
      <c r="H45" s="3" t="s">
        <v>19</v>
      </c>
      <c r="I45" s="3">
        <v>-60.2</v>
      </c>
      <c r="J45" s="3">
        <v>0.59999999999999898</v>
      </c>
      <c r="K45" s="3">
        <v>-58.8</v>
      </c>
      <c r="L45" s="3">
        <v>-51.8</v>
      </c>
      <c r="M45" s="3">
        <v>8.6</v>
      </c>
      <c r="N45" s="12" t="s">
        <v>44</v>
      </c>
      <c r="O45" s="3">
        <v>-48500</v>
      </c>
      <c r="P45" s="12" t="s">
        <v>44</v>
      </c>
      <c r="Q45" s="3">
        <v>-21.2</v>
      </c>
      <c r="R45" s="14" t="s">
        <v>44</v>
      </c>
    </row>
    <row r="46" spans="1:18" ht="28.2" thickBot="1" x14ac:dyDescent="0.35">
      <c r="A46" s="9" t="s">
        <v>98</v>
      </c>
      <c r="B46" s="10" t="s">
        <v>36</v>
      </c>
      <c r="C46" s="10" t="s">
        <v>22</v>
      </c>
      <c r="D46" s="10" t="s">
        <v>37</v>
      </c>
      <c r="E46" s="10" t="s">
        <v>24</v>
      </c>
      <c r="F46" s="11">
        <v>46113</v>
      </c>
      <c r="G46" s="10" t="s">
        <v>18</v>
      </c>
      <c r="H46" s="10" t="s">
        <v>38</v>
      </c>
      <c r="I46" s="10">
        <v>-61.8</v>
      </c>
      <c r="J46" s="10">
        <v>0.59999999999999898</v>
      </c>
      <c r="K46" s="10">
        <v>-60.4</v>
      </c>
      <c r="L46" s="10">
        <v>-53.2</v>
      </c>
      <c r="M46" s="10">
        <v>8.6</v>
      </c>
      <c r="N46" s="15" t="s">
        <v>44</v>
      </c>
      <c r="O46" s="10">
        <v>-51000</v>
      </c>
      <c r="P46" s="15" t="s">
        <v>44</v>
      </c>
      <c r="Q46" s="10">
        <v>-21.8</v>
      </c>
      <c r="R46" s="16" t="s">
        <v>44</v>
      </c>
    </row>
    <row r="47" spans="1:18" ht="28.2" thickBot="1" x14ac:dyDescent="0.35">
      <c r="A47" s="5" t="s">
        <v>99</v>
      </c>
      <c r="B47" s="3" t="s">
        <v>14</v>
      </c>
      <c r="C47" s="3" t="s">
        <v>15</v>
      </c>
      <c r="D47" s="3" t="s">
        <v>16</v>
      </c>
      <c r="E47" s="3" t="s">
        <v>17</v>
      </c>
      <c r="F47" s="4">
        <v>46113</v>
      </c>
      <c r="G47" s="3" t="s">
        <v>18</v>
      </c>
      <c r="H47" s="3" t="s">
        <v>19</v>
      </c>
      <c r="I47" s="3">
        <v>-63.4</v>
      </c>
      <c r="J47" s="3">
        <v>0.59999999999999898</v>
      </c>
      <c r="K47" s="3">
        <v>-62</v>
      </c>
      <c r="L47" s="3">
        <v>-54.6</v>
      </c>
      <c r="M47" s="3">
        <v>8.6</v>
      </c>
      <c r="N47" s="12" t="s">
        <v>44</v>
      </c>
      <c r="O47" s="3">
        <v>-53500</v>
      </c>
      <c r="P47" s="12" t="s">
        <v>44</v>
      </c>
      <c r="Q47" s="3">
        <v>-22.4</v>
      </c>
      <c r="R47" s="14" t="s">
        <v>44</v>
      </c>
    </row>
    <row r="48" spans="1:18" ht="28.2" thickBot="1" x14ac:dyDescent="0.35">
      <c r="A48" s="5" t="s">
        <v>100</v>
      </c>
      <c r="B48" s="3" t="s">
        <v>21</v>
      </c>
      <c r="C48" s="3" t="s">
        <v>22</v>
      </c>
      <c r="D48" s="3" t="s">
        <v>23</v>
      </c>
      <c r="E48" s="3" t="s">
        <v>24</v>
      </c>
      <c r="F48" s="4">
        <v>46113</v>
      </c>
      <c r="G48" s="3" t="s">
        <v>18</v>
      </c>
      <c r="H48" s="3" t="s">
        <v>25</v>
      </c>
      <c r="I48" s="3">
        <v>-65</v>
      </c>
      <c r="J48" s="3">
        <v>0.59999999999999798</v>
      </c>
      <c r="K48" s="3">
        <v>-63.6</v>
      </c>
      <c r="L48" s="3">
        <v>-56</v>
      </c>
      <c r="M48" s="3">
        <v>8.6</v>
      </c>
      <c r="N48" s="12" t="s">
        <v>44</v>
      </c>
      <c r="O48" s="3">
        <v>-56000</v>
      </c>
      <c r="P48" s="12" t="s">
        <v>44</v>
      </c>
      <c r="Q48" s="3">
        <v>-23</v>
      </c>
      <c r="R48" s="14" t="s">
        <v>44</v>
      </c>
    </row>
    <row r="49" spans="1:18" ht="28.2" thickBot="1" x14ac:dyDescent="0.35">
      <c r="A49" s="5" t="s">
        <v>101</v>
      </c>
      <c r="B49" s="3" t="s">
        <v>27</v>
      </c>
      <c r="C49" s="3" t="s">
        <v>28</v>
      </c>
      <c r="D49" s="3" t="s">
        <v>29</v>
      </c>
      <c r="E49" s="3" t="s">
        <v>30</v>
      </c>
      <c r="F49" s="4">
        <v>46113</v>
      </c>
      <c r="G49" s="3" t="s">
        <v>18</v>
      </c>
      <c r="H49" s="3" t="s">
        <v>31</v>
      </c>
      <c r="I49" s="3">
        <v>-66.599999999999994</v>
      </c>
      <c r="J49" s="3">
        <v>0.59999999999999798</v>
      </c>
      <c r="K49" s="3">
        <v>-65.2</v>
      </c>
      <c r="L49" s="3">
        <v>-57.4</v>
      </c>
      <c r="M49" s="3">
        <v>8.6</v>
      </c>
      <c r="N49" s="12" t="s">
        <v>44</v>
      </c>
      <c r="O49" s="3">
        <v>-58500</v>
      </c>
      <c r="P49" s="12" t="s">
        <v>44</v>
      </c>
      <c r="Q49" s="3">
        <v>-23.6</v>
      </c>
      <c r="R49" s="14" t="s">
        <v>44</v>
      </c>
    </row>
    <row r="50" spans="1:18" ht="28.2" thickBot="1" x14ac:dyDescent="0.35">
      <c r="A50" s="5" t="s">
        <v>102</v>
      </c>
      <c r="B50" s="3" t="s">
        <v>33</v>
      </c>
      <c r="C50" s="3" t="s">
        <v>15</v>
      </c>
      <c r="D50" s="3" t="s">
        <v>34</v>
      </c>
      <c r="E50" s="3" t="s">
        <v>17</v>
      </c>
      <c r="F50" s="4">
        <v>46113</v>
      </c>
      <c r="G50" s="3" t="s">
        <v>18</v>
      </c>
      <c r="H50" s="3" t="s">
        <v>19</v>
      </c>
      <c r="I50" s="3">
        <v>-68.2</v>
      </c>
      <c r="J50" s="3">
        <v>0.59999999999999798</v>
      </c>
      <c r="K50" s="3">
        <v>-66.8</v>
      </c>
      <c r="L50" s="3">
        <v>-58.8</v>
      </c>
      <c r="M50" s="3">
        <v>8.6</v>
      </c>
      <c r="N50" s="12" t="s">
        <v>44</v>
      </c>
      <c r="O50" s="3">
        <v>-61000</v>
      </c>
      <c r="P50" s="12" t="s">
        <v>44</v>
      </c>
      <c r="Q50" s="3">
        <v>-24.2</v>
      </c>
      <c r="R50" s="14" t="s">
        <v>44</v>
      </c>
    </row>
    <row r="51" spans="1:18" ht="28.2" thickBot="1" x14ac:dyDescent="0.35">
      <c r="A51" s="9" t="s">
        <v>103</v>
      </c>
      <c r="B51" s="10" t="s">
        <v>36</v>
      </c>
      <c r="C51" s="10" t="s">
        <v>22</v>
      </c>
      <c r="D51" s="10" t="s">
        <v>37</v>
      </c>
      <c r="E51" s="10" t="s">
        <v>24</v>
      </c>
      <c r="F51" s="11">
        <v>46113</v>
      </c>
      <c r="G51" s="10" t="s">
        <v>18</v>
      </c>
      <c r="H51" s="10" t="s">
        <v>38</v>
      </c>
      <c r="I51" s="10">
        <v>-69.8</v>
      </c>
      <c r="J51" s="10">
        <v>0.59999999999999798</v>
      </c>
      <c r="K51" s="10">
        <v>-68.400000000000006</v>
      </c>
      <c r="L51" s="10">
        <v>-60.2</v>
      </c>
      <c r="M51" s="10">
        <v>8.6</v>
      </c>
      <c r="N51" s="15" t="s">
        <v>44</v>
      </c>
      <c r="O51" s="10">
        <v>-63500</v>
      </c>
      <c r="P51" s="15" t="s">
        <v>44</v>
      </c>
      <c r="Q51" s="10">
        <v>-24.8</v>
      </c>
      <c r="R51" s="16" t="s">
        <v>44</v>
      </c>
    </row>
    <row r="52" spans="1:18" ht="28.2" thickBot="1" x14ac:dyDescent="0.35">
      <c r="A52" s="5" t="s">
        <v>104</v>
      </c>
      <c r="B52" s="3" t="s">
        <v>14</v>
      </c>
      <c r="C52" s="3" t="s">
        <v>15</v>
      </c>
      <c r="D52" s="3" t="s">
        <v>16</v>
      </c>
      <c r="E52" s="3" t="s">
        <v>17</v>
      </c>
      <c r="F52" s="4">
        <v>46113</v>
      </c>
      <c r="G52" s="3" t="s">
        <v>18</v>
      </c>
      <c r="H52" s="3" t="s">
        <v>19</v>
      </c>
      <c r="I52" s="3">
        <v>-71.400000000000006</v>
      </c>
      <c r="J52" s="3">
        <v>0.59999999999999798</v>
      </c>
      <c r="K52" s="3">
        <v>-70</v>
      </c>
      <c r="L52" s="3">
        <v>-61.6</v>
      </c>
      <c r="M52" s="3">
        <v>8.6</v>
      </c>
      <c r="N52" s="12" t="s">
        <v>44</v>
      </c>
      <c r="O52" s="3">
        <v>-66000</v>
      </c>
      <c r="P52" s="12" t="s">
        <v>44</v>
      </c>
      <c r="Q52" s="3">
        <v>-25.4</v>
      </c>
      <c r="R52" s="14" t="s">
        <v>44</v>
      </c>
    </row>
    <row r="53" spans="1:18" ht="28.2" thickBot="1" x14ac:dyDescent="0.35">
      <c r="A53" s="5" t="s">
        <v>105</v>
      </c>
      <c r="B53" s="3" t="s">
        <v>21</v>
      </c>
      <c r="C53" s="3" t="s">
        <v>22</v>
      </c>
      <c r="D53" s="3" t="s">
        <v>23</v>
      </c>
      <c r="E53" s="3" t="s">
        <v>24</v>
      </c>
      <c r="F53" s="4">
        <v>46113</v>
      </c>
      <c r="G53" s="3" t="s">
        <v>18</v>
      </c>
      <c r="H53" s="3" t="s">
        <v>25</v>
      </c>
      <c r="I53" s="3">
        <v>-73</v>
      </c>
      <c r="J53" s="3">
        <v>0.59999999999999798</v>
      </c>
      <c r="K53" s="3">
        <v>-71.599999999999994</v>
      </c>
      <c r="L53" s="3">
        <v>-63</v>
      </c>
      <c r="M53" s="3">
        <v>8.6</v>
      </c>
      <c r="N53" s="12" t="s">
        <v>44</v>
      </c>
      <c r="O53" s="3">
        <v>-68500</v>
      </c>
      <c r="P53" s="12" t="s">
        <v>44</v>
      </c>
      <c r="Q53" s="3">
        <v>-26</v>
      </c>
      <c r="R53" s="14" t="s">
        <v>44</v>
      </c>
    </row>
    <row r="54" spans="1:18" ht="28.2" thickBot="1" x14ac:dyDescent="0.35">
      <c r="A54" s="5" t="s">
        <v>106</v>
      </c>
      <c r="B54" s="3" t="s">
        <v>27</v>
      </c>
      <c r="C54" s="3" t="s">
        <v>28</v>
      </c>
      <c r="D54" s="3" t="s">
        <v>29</v>
      </c>
      <c r="E54" s="3" t="s">
        <v>30</v>
      </c>
      <c r="F54" s="4">
        <v>46113</v>
      </c>
      <c r="G54" s="3" t="s">
        <v>18</v>
      </c>
      <c r="H54" s="3" t="s">
        <v>31</v>
      </c>
      <c r="I54" s="3">
        <v>-74.599999999999994</v>
      </c>
      <c r="J54" s="3">
        <v>0.59999999999999798</v>
      </c>
      <c r="K54" s="3">
        <v>-73.2</v>
      </c>
      <c r="L54" s="3">
        <v>-64.400000000000006</v>
      </c>
      <c r="M54" s="3">
        <v>8.6</v>
      </c>
      <c r="N54" s="12" t="s">
        <v>44</v>
      </c>
      <c r="O54" s="3">
        <v>-71000</v>
      </c>
      <c r="P54" s="12" t="s">
        <v>44</v>
      </c>
      <c r="Q54" s="3">
        <v>-26.6</v>
      </c>
      <c r="R54" s="14" t="s">
        <v>44</v>
      </c>
    </row>
    <row r="55" spans="1:18" ht="28.2" thickBot="1" x14ac:dyDescent="0.35">
      <c r="A55" s="5" t="s">
        <v>107</v>
      </c>
      <c r="B55" s="3" t="s">
        <v>33</v>
      </c>
      <c r="C55" s="3" t="s">
        <v>15</v>
      </c>
      <c r="D55" s="3" t="s">
        <v>34</v>
      </c>
      <c r="E55" s="3" t="s">
        <v>17</v>
      </c>
      <c r="F55" s="4">
        <v>46113</v>
      </c>
      <c r="G55" s="3" t="s">
        <v>18</v>
      </c>
      <c r="H55" s="3" t="s">
        <v>19</v>
      </c>
      <c r="I55" s="3">
        <v>-76.2</v>
      </c>
      <c r="J55" s="3">
        <v>0.59999999999999798</v>
      </c>
      <c r="K55" s="3">
        <v>-74.8</v>
      </c>
      <c r="L55" s="3">
        <v>-65.8</v>
      </c>
      <c r="M55" s="3">
        <v>8.6</v>
      </c>
      <c r="N55" s="12" t="s">
        <v>44</v>
      </c>
      <c r="O55" s="3">
        <v>-73500</v>
      </c>
      <c r="P55" s="12" t="s">
        <v>44</v>
      </c>
      <c r="Q55" s="3">
        <v>-27.2</v>
      </c>
      <c r="R55" s="14" t="s">
        <v>44</v>
      </c>
    </row>
    <row r="56" spans="1:18" ht="28.2" thickBot="1" x14ac:dyDescent="0.35">
      <c r="A56" s="9" t="s">
        <v>108</v>
      </c>
      <c r="B56" s="10" t="s">
        <v>36</v>
      </c>
      <c r="C56" s="10" t="s">
        <v>22</v>
      </c>
      <c r="D56" s="10" t="s">
        <v>37</v>
      </c>
      <c r="E56" s="10" t="s">
        <v>24</v>
      </c>
      <c r="F56" s="11">
        <v>46113</v>
      </c>
      <c r="G56" s="10" t="s">
        <v>18</v>
      </c>
      <c r="H56" s="10" t="s">
        <v>38</v>
      </c>
      <c r="I56" s="10">
        <v>-77.8</v>
      </c>
      <c r="J56" s="10">
        <v>0.59999999999999798</v>
      </c>
      <c r="K56" s="10">
        <v>-76.400000000000006</v>
      </c>
      <c r="L56" s="10">
        <v>-67.2</v>
      </c>
      <c r="M56" s="10">
        <v>8.6</v>
      </c>
      <c r="N56" s="15" t="s">
        <v>44</v>
      </c>
      <c r="O56" s="10">
        <v>-76000</v>
      </c>
      <c r="P56" s="15" t="s">
        <v>44</v>
      </c>
      <c r="Q56" s="10">
        <v>-27.8</v>
      </c>
      <c r="R56" s="16" t="s">
        <v>44</v>
      </c>
    </row>
    <row r="57" spans="1:18" ht="28.2" thickBot="1" x14ac:dyDescent="0.35">
      <c r="A57" s="5" t="s">
        <v>109</v>
      </c>
      <c r="B57" s="3" t="s">
        <v>14</v>
      </c>
      <c r="C57" s="3" t="s">
        <v>15</v>
      </c>
      <c r="D57" s="3" t="s">
        <v>16</v>
      </c>
      <c r="E57" s="3" t="s">
        <v>17</v>
      </c>
      <c r="F57" s="4">
        <v>46113</v>
      </c>
      <c r="G57" s="3" t="s">
        <v>18</v>
      </c>
      <c r="H57" s="3" t="s">
        <v>19</v>
      </c>
      <c r="I57" s="3">
        <v>-79.400000000000006</v>
      </c>
      <c r="J57" s="3">
        <v>0.59999999999999798</v>
      </c>
      <c r="K57" s="3">
        <v>-78</v>
      </c>
      <c r="L57" s="3">
        <v>-68.599999999999994</v>
      </c>
      <c r="M57" s="3">
        <v>8.6</v>
      </c>
      <c r="N57" s="12" t="s">
        <v>44</v>
      </c>
      <c r="O57" s="3">
        <v>-78500</v>
      </c>
      <c r="P57" s="12" t="s">
        <v>44</v>
      </c>
      <c r="Q57" s="3">
        <v>-28.4</v>
      </c>
      <c r="R57" s="14" t="s">
        <v>44</v>
      </c>
    </row>
    <row r="58" spans="1:18" ht="28.2" thickBot="1" x14ac:dyDescent="0.35">
      <c r="A58" s="5" t="s">
        <v>110</v>
      </c>
      <c r="B58" s="3" t="s">
        <v>21</v>
      </c>
      <c r="C58" s="3" t="s">
        <v>22</v>
      </c>
      <c r="D58" s="3" t="s">
        <v>23</v>
      </c>
      <c r="E58" s="3" t="s">
        <v>24</v>
      </c>
      <c r="F58" s="4">
        <v>46113</v>
      </c>
      <c r="G58" s="3" t="s">
        <v>18</v>
      </c>
      <c r="H58" s="3" t="s">
        <v>25</v>
      </c>
      <c r="I58" s="3">
        <v>-81</v>
      </c>
      <c r="J58" s="3">
        <v>0.59999999999999798</v>
      </c>
      <c r="K58" s="3">
        <v>-79.599999999999994</v>
      </c>
      <c r="L58" s="3">
        <v>-70</v>
      </c>
      <c r="M58" s="3">
        <v>8.6</v>
      </c>
      <c r="N58" s="12" t="s">
        <v>44</v>
      </c>
      <c r="O58" s="3">
        <v>-81000</v>
      </c>
      <c r="P58" s="12" t="s">
        <v>44</v>
      </c>
      <c r="Q58" s="3">
        <v>-29</v>
      </c>
      <c r="R58" s="14" t="s">
        <v>44</v>
      </c>
    </row>
    <row r="59" spans="1:18" ht="28.2" thickBot="1" x14ac:dyDescent="0.35">
      <c r="A59" s="5" t="s">
        <v>111</v>
      </c>
      <c r="B59" s="3" t="s">
        <v>27</v>
      </c>
      <c r="C59" s="3" t="s">
        <v>28</v>
      </c>
      <c r="D59" s="3" t="s">
        <v>29</v>
      </c>
      <c r="E59" s="3" t="s">
        <v>30</v>
      </c>
      <c r="F59" s="4">
        <v>46113</v>
      </c>
      <c r="G59" s="3" t="s">
        <v>18</v>
      </c>
      <c r="H59" s="3" t="s">
        <v>31</v>
      </c>
      <c r="I59" s="3">
        <v>-82.6</v>
      </c>
      <c r="J59" s="3">
        <v>0.59999999999999798</v>
      </c>
      <c r="K59" s="3">
        <v>-81.2</v>
      </c>
      <c r="L59" s="3">
        <v>-71.400000000000006</v>
      </c>
      <c r="M59" s="3">
        <v>8.6</v>
      </c>
      <c r="N59" s="12" t="s">
        <v>44</v>
      </c>
      <c r="O59" s="3">
        <v>-83500</v>
      </c>
      <c r="P59" s="12" t="s">
        <v>44</v>
      </c>
      <c r="Q59" s="3">
        <v>-29.6</v>
      </c>
      <c r="R59" s="14" t="s">
        <v>44</v>
      </c>
    </row>
    <row r="60" spans="1:18" ht="28.2" thickBot="1" x14ac:dyDescent="0.35">
      <c r="A60" s="5" t="s">
        <v>112</v>
      </c>
      <c r="B60" s="3" t="s">
        <v>33</v>
      </c>
      <c r="C60" s="3" t="s">
        <v>15</v>
      </c>
      <c r="D60" s="3" t="s">
        <v>34</v>
      </c>
      <c r="E60" s="3" t="s">
        <v>17</v>
      </c>
      <c r="F60" s="4">
        <v>46113</v>
      </c>
      <c r="G60" s="3" t="s">
        <v>18</v>
      </c>
      <c r="H60" s="3" t="s">
        <v>19</v>
      </c>
      <c r="I60" s="3">
        <v>-84.2</v>
      </c>
      <c r="J60" s="3">
        <v>0.59999999999999798</v>
      </c>
      <c r="K60" s="3">
        <v>-82.8</v>
      </c>
      <c r="L60" s="3">
        <v>-72.8</v>
      </c>
      <c r="M60" s="3">
        <v>8.6</v>
      </c>
      <c r="N60" s="12" t="s">
        <v>44</v>
      </c>
      <c r="O60" s="3">
        <v>-86000</v>
      </c>
      <c r="P60" s="12" t="s">
        <v>44</v>
      </c>
      <c r="Q60" s="3">
        <v>-30.2</v>
      </c>
      <c r="R60" s="14" t="s">
        <v>44</v>
      </c>
    </row>
    <row r="61" spans="1:18" ht="28.2" thickBot="1" x14ac:dyDescent="0.35">
      <c r="A61" s="9" t="s">
        <v>113</v>
      </c>
      <c r="B61" s="10" t="s">
        <v>36</v>
      </c>
      <c r="C61" s="10" t="s">
        <v>22</v>
      </c>
      <c r="D61" s="10" t="s">
        <v>37</v>
      </c>
      <c r="E61" s="10" t="s">
        <v>24</v>
      </c>
      <c r="F61" s="11">
        <v>46113</v>
      </c>
      <c r="G61" s="10" t="s">
        <v>18</v>
      </c>
      <c r="H61" s="10" t="s">
        <v>38</v>
      </c>
      <c r="I61" s="10">
        <v>-85.8</v>
      </c>
      <c r="J61" s="10">
        <v>0.59999999999999798</v>
      </c>
      <c r="K61" s="10">
        <v>-84.4</v>
      </c>
      <c r="L61" s="10">
        <v>-74.2</v>
      </c>
      <c r="M61" s="10">
        <v>8.6</v>
      </c>
      <c r="N61" s="15" t="s">
        <v>44</v>
      </c>
      <c r="O61" s="10">
        <v>-88500</v>
      </c>
      <c r="P61" s="15" t="s">
        <v>44</v>
      </c>
      <c r="Q61" s="10">
        <v>-30.8</v>
      </c>
      <c r="R61" s="16" t="s">
        <v>44</v>
      </c>
    </row>
    <row r="62" spans="1:18" ht="28.2" thickBot="1" x14ac:dyDescent="0.35">
      <c r="A62" s="5" t="s">
        <v>114</v>
      </c>
      <c r="B62" s="3" t="s">
        <v>14</v>
      </c>
      <c r="C62" s="3" t="s">
        <v>15</v>
      </c>
      <c r="D62" s="3" t="s">
        <v>16</v>
      </c>
      <c r="E62" s="3" t="s">
        <v>17</v>
      </c>
      <c r="F62" s="4">
        <v>46113</v>
      </c>
      <c r="G62" s="3" t="s">
        <v>18</v>
      </c>
      <c r="H62" s="3" t="s">
        <v>19</v>
      </c>
      <c r="I62" s="3">
        <v>-87.4</v>
      </c>
      <c r="J62" s="3">
        <v>0.59999999999999798</v>
      </c>
      <c r="K62" s="3">
        <v>-86</v>
      </c>
      <c r="L62" s="3">
        <v>-75.599999999999994</v>
      </c>
      <c r="M62" s="3">
        <v>8.6</v>
      </c>
      <c r="N62" s="12" t="s">
        <v>44</v>
      </c>
      <c r="O62" s="3">
        <v>-91000</v>
      </c>
      <c r="P62" s="12" t="s">
        <v>44</v>
      </c>
      <c r="Q62" s="3">
        <v>-31.4</v>
      </c>
      <c r="R62" s="14" t="s">
        <v>44</v>
      </c>
    </row>
    <row r="63" spans="1:18" ht="28.2" thickBot="1" x14ac:dyDescent="0.35">
      <c r="A63" s="5" t="s">
        <v>115</v>
      </c>
      <c r="B63" s="3" t="s">
        <v>21</v>
      </c>
      <c r="C63" s="3" t="s">
        <v>22</v>
      </c>
      <c r="D63" s="3" t="s">
        <v>23</v>
      </c>
      <c r="E63" s="3" t="s">
        <v>24</v>
      </c>
      <c r="F63" s="4">
        <v>46113</v>
      </c>
      <c r="G63" s="3" t="s">
        <v>18</v>
      </c>
      <c r="H63" s="3" t="s">
        <v>25</v>
      </c>
      <c r="I63" s="3">
        <v>-89</v>
      </c>
      <c r="J63" s="3">
        <v>0.59999999999999798</v>
      </c>
      <c r="K63" s="3">
        <v>-87.6</v>
      </c>
      <c r="L63" s="3">
        <v>-77</v>
      </c>
      <c r="M63" s="3">
        <v>8.6</v>
      </c>
      <c r="N63" s="12" t="s">
        <v>44</v>
      </c>
      <c r="O63" s="3">
        <v>-93500</v>
      </c>
      <c r="P63" s="12" t="s">
        <v>44</v>
      </c>
      <c r="Q63" s="3">
        <v>-32</v>
      </c>
      <c r="R63" s="14" t="s">
        <v>44</v>
      </c>
    </row>
    <row r="64" spans="1:18" ht="28.2" thickBot="1" x14ac:dyDescent="0.35">
      <c r="A64" s="5" t="s">
        <v>116</v>
      </c>
      <c r="B64" s="3" t="s">
        <v>27</v>
      </c>
      <c r="C64" s="3" t="s">
        <v>28</v>
      </c>
      <c r="D64" s="3" t="s">
        <v>29</v>
      </c>
      <c r="E64" s="3" t="s">
        <v>30</v>
      </c>
      <c r="F64" s="4">
        <v>46113</v>
      </c>
      <c r="G64" s="3" t="s">
        <v>18</v>
      </c>
      <c r="H64" s="3" t="s">
        <v>31</v>
      </c>
      <c r="I64" s="3">
        <v>-90.6</v>
      </c>
      <c r="J64" s="3">
        <v>0.59999999999999798</v>
      </c>
      <c r="K64" s="3">
        <v>-89.2</v>
      </c>
      <c r="L64" s="3">
        <v>-78.400000000000006</v>
      </c>
      <c r="M64" s="3">
        <v>8.6</v>
      </c>
      <c r="N64" s="12" t="s">
        <v>44</v>
      </c>
      <c r="O64" s="3">
        <v>-96000</v>
      </c>
      <c r="P64" s="12" t="s">
        <v>44</v>
      </c>
      <c r="Q64" s="3">
        <v>-32.6</v>
      </c>
      <c r="R64" s="14" t="s">
        <v>44</v>
      </c>
    </row>
    <row r="65" spans="1:18" ht="28.2" thickBot="1" x14ac:dyDescent="0.35">
      <c r="A65" s="5" t="s">
        <v>117</v>
      </c>
      <c r="B65" s="3" t="s">
        <v>33</v>
      </c>
      <c r="C65" s="3" t="s">
        <v>15</v>
      </c>
      <c r="D65" s="3" t="s">
        <v>34</v>
      </c>
      <c r="E65" s="3" t="s">
        <v>17</v>
      </c>
      <c r="F65" s="4">
        <v>46113</v>
      </c>
      <c r="G65" s="3" t="s">
        <v>18</v>
      </c>
      <c r="H65" s="3" t="s">
        <v>19</v>
      </c>
      <c r="I65" s="3">
        <v>-92.2</v>
      </c>
      <c r="J65" s="3">
        <v>0.59999999999999798</v>
      </c>
      <c r="K65" s="3">
        <v>-90.8</v>
      </c>
      <c r="L65" s="3">
        <v>-79.8</v>
      </c>
      <c r="M65" s="3">
        <v>8.6</v>
      </c>
      <c r="N65" s="12" t="s">
        <v>44</v>
      </c>
      <c r="O65" s="3">
        <v>-98500</v>
      </c>
      <c r="P65" s="12" t="s">
        <v>44</v>
      </c>
      <c r="Q65" s="3">
        <v>-33.200000000000003</v>
      </c>
      <c r="R65" s="14" t="s">
        <v>44</v>
      </c>
    </row>
    <row r="66" spans="1:18" ht="28.2" thickBot="1" x14ac:dyDescent="0.35">
      <c r="A66" s="9" t="s">
        <v>118</v>
      </c>
      <c r="B66" s="10" t="s">
        <v>36</v>
      </c>
      <c r="C66" s="10" t="s">
        <v>22</v>
      </c>
      <c r="D66" s="10" t="s">
        <v>37</v>
      </c>
      <c r="E66" s="10" t="s">
        <v>24</v>
      </c>
      <c r="F66" s="11">
        <v>46113</v>
      </c>
      <c r="G66" s="10" t="s">
        <v>18</v>
      </c>
      <c r="H66" s="10" t="s">
        <v>38</v>
      </c>
      <c r="I66" s="10">
        <v>-93.8</v>
      </c>
      <c r="J66" s="10">
        <v>0.59999999999999798</v>
      </c>
      <c r="K66" s="10">
        <v>-92.4</v>
      </c>
      <c r="L66" s="10">
        <v>-81.2</v>
      </c>
      <c r="M66" s="10">
        <v>8.5999999999999908</v>
      </c>
      <c r="N66" s="15" t="s">
        <v>44</v>
      </c>
      <c r="O66" s="10">
        <v>-101000</v>
      </c>
      <c r="P66" s="15" t="s">
        <v>44</v>
      </c>
      <c r="Q66" s="10">
        <v>-33.799999999999997</v>
      </c>
      <c r="R66" s="16" t="s">
        <v>44</v>
      </c>
    </row>
    <row r="67" spans="1:18" ht="28.2" thickBot="1" x14ac:dyDescent="0.35">
      <c r="A67" s="5" t="s">
        <v>119</v>
      </c>
      <c r="B67" s="3" t="s">
        <v>14</v>
      </c>
      <c r="C67" s="3" t="s">
        <v>15</v>
      </c>
      <c r="D67" s="3" t="s">
        <v>16</v>
      </c>
      <c r="E67" s="3" t="s">
        <v>17</v>
      </c>
      <c r="F67" s="4">
        <v>46113</v>
      </c>
      <c r="G67" s="3" t="s">
        <v>18</v>
      </c>
      <c r="H67" s="3" t="s">
        <v>19</v>
      </c>
      <c r="I67" s="3">
        <v>-95.4</v>
      </c>
      <c r="J67" s="3">
        <v>0.59999999999999798</v>
      </c>
      <c r="K67" s="3">
        <v>-94</v>
      </c>
      <c r="L67" s="3">
        <v>-82.6</v>
      </c>
      <c r="M67" s="3">
        <v>8.5999999999999908</v>
      </c>
      <c r="N67" s="12" t="s">
        <v>44</v>
      </c>
      <c r="O67" s="3">
        <v>-103500</v>
      </c>
      <c r="P67" s="12" t="s">
        <v>44</v>
      </c>
      <c r="Q67" s="3">
        <v>-34.4</v>
      </c>
      <c r="R67" s="14" t="s">
        <v>44</v>
      </c>
    </row>
    <row r="68" spans="1:18" ht="28.2" thickBot="1" x14ac:dyDescent="0.35">
      <c r="A68" s="5" t="s">
        <v>120</v>
      </c>
      <c r="B68" s="3" t="s">
        <v>21</v>
      </c>
      <c r="C68" s="3" t="s">
        <v>22</v>
      </c>
      <c r="D68" s="3" t="s">
        <v>23</v>
      </c>
      <c r="E68" s="3" t="s">
        <v>24</v>
      </c>
      <c r="F68" s="4">
        <v>46113</v>
      </c>
      <c r="G68" s="3" t="s">
        <v>18</v>
      </c>
      <c r="H68" s="3" t="s">
        <v>25</v>
      </c>
      <c r="I68" s="3">
        <v>-97</v>
      </c>
      <c r="J68" s="3">
        <v>0.59999999999999798</v>
      </c>
      <c r="K68" s="3">
        <v>-95.6</v>
      </c>
      <c r="L68" s="3">
        <v>-84</v>
      </c>
      <c r="M68" s="3">
        <v>8.5999999999999908</v>
      </c>
      <c r="N68" s="12" t="s">
        <v>44</v>
      </c>
      <c r="O68" s="3">
        <v>-106000</v>
      </c>
      <c r="P68" s="12" t="s">
        <v>44</v>
      </c>
      <c r="Q68" s="3">
        <v>-35</v>
      </c>
      <c r="R68" s="14" t="s">
        <v>44</v>
      </c>
    </row>
    <row r="69" spans="1:18" ht="28.2" thickBot="1" x14ac:dyDescent="0.35">
      <c r="A69" s="5" t="s">
        <v>121</v>
      </c>
      <c r="B69" s="3" t="s">
        <v>27</v>
      </c>
      <c r="C69" s="3" t="s">
        <v>28</v>
      </c>
      <c r="D69" s="3" t="s">
        <v>29</v>
      </c>
      <c r="E69" s="3" t="s">
        <v>30</v>
      </c>
      <c r="F69" s="4">
        <v>46113</v>
      </c>
      <c r="G69" s="3" t="s">
        <v>18</v>
      </c>
      <c r="H69" s="3" t="s">
        <v>31</v>
      </c>
      <c r="I69" s="3">
        <v>-98.6</v>
      </c>
      <c r="J69" s="3">
        <v>0.59999999999999798</v>
      </c>
      <c r="K69" s="3">
        <v>-97.2</v>
      </c>
      <c r="L69" s="3">
        <v>-85.4</v>
      </c>
      <c r="M69" s="3">
        <v>8.5999999999999908</v>
      </c>
      <c r="N69" s="12" t="s">
        <v>44</v>
      </c>
      <c r="O69" s="3">
        <v>-108500</v>
      </c>
      <c r="P69" s="12" t="s">
        <v>44</v>
      </c>
      <c r="Q69" s="3">
        <v>-35.6</v>
      </c>
      <c r="R69" s="14" t="s">
        <v>44</v>
      </c>
    </row>
    <row r="70" spans="1:18" ht="28.2" thickBot="1" x14ac:dyDescent="0.35">
      <c r="A70" s="5" t="s">
        <v>122</v>
      </c>
      <c r="B70" s="3" t="s">
        <v>33</v>
      </c>
      <c r="C70" s="3" t="s">
        <v>15</v>
      </c>
      <c r="D70" s="3" t="s">
        <v>34</v>
      </c>
      <c r="E70" s="3" t="s">
        <v>17</v>
      </c>
      <c r="F70" s="4">
        <v>46113</v>
      </c>
      <c r="G70" s="3" t="s">
        <v>18</v>
      </c>
      <c r="H70" s="3" t="s">
        <v>19</v>
      </c>
      <c r="I70" s="3">
        <v>-100.2</v>
      </c>
      <c r="J70" s="3">
        <v>0.59999999999999798</v>
      </c>
      <c r="K70" s="3">
        <v>-98.8</v>
      </c>
      <c r="L70" s="3">
        <v>-86.8</v>
      </c>
      <c r="M70" s="3">
        <v>8.5999999999999908</v>
      </c>
      <c r="N70" s="12" t="s">
        <v>44</v>
      </c>
      <c r="O70" s="3">
        <v>-111000</v>
      </c>
      <c r="P70" s="12" t="s">
        <v>44</v>
      </c>
      <c r="Q70" s="3">
        <v>-36.200000000000003</v>
      </c>
      <c r="R70" s="14" t="s">
        <v>44</v>
      </c>
    </row>
    <row r="71" spans="1:18" ht="28.2" thickBot="1" x14ac:dyDescent="0.35">
      <c r="A71" s="9" t="s">
        <v>123</v>
      </c>
      <c r="B71" s="10" t="s">
        <v>36</v>
      </c>
      <c r="C71" s="10" t="s">
        <v>22</v>
      </c>
      <c r="D71" s="10" t="s">
        <v>37</v>
      </c>
      <c r="E71" s="10" t="s">
        <v>24</v>
      </c>
      <c r="F71" s="11">
        <v>46113</v>
      </c>
      <c r="G71" s="10" t="s">
        <v>18</v>
      </c>
      <c r="H71" s="10" t="s">
        <v>38</v>
      </c>
      <c r="I71" s="10">
        <v>-101.8</v>
      </c>
      <c r="J71" s="10">
        <v>0.59999999999999798</v>
      </c>
      <c r="K71" s="10">
        <v>-100.4</v>
      </c>
      <c r="L71" s="10">
        <v>-88.2</v>
      </c>
      <c r="M71" s="10">
        <v>8.5999999999999908</v>
      </c>
      <c r="N71" s="15" t="s">
        <v>44</v>
      </c>
      <c r="O71" s="10">
        <v>-113500</v>
      </c>
      <c r="P71" s="15" t="s">
        <v>44</v>
      </c>
      <c r="Q71" s="10">
        <v>-36.799999999999997</v>
      </c>
      <c r="R71" s="16" t="s">
        <v>44</v>
      </c>
    </row>
    <row r="72" spans="1:18" ht="28.2" thickBot="1" x14ac:dyDescent="0.35">
      <c r="A72" s="5" t="s">
        <v>124</v>
      </c>
      <c r="B72" s="3" t="s">
        <v>14</v>
      </c>
      <c r="C72" s="3" t="s">
        <v>15</v>
      </c>
      <c r="D72" s="3" t="s">
        <v>16</v>
      </c>
      <c r="E72" s="3" t="s">
        <v>17</v>
      </c>
      <c r="F72" s="4">
        <v>46113</v>
      </c>
      <c r="G72" s="3" t="s">
        <v>18</v>
      </c>
      <c r="H72" s="3" t="s">
        <v>19</v>
      </c>
      <c r="I72" s="3">
        <v>-103.4</v>
      </c>
      <c r="J72" s="3">
        <v>0.59999999999999798</v>
      </c>
      <c r="K72" s="3">
        <v>-102</v>
      </c>
      <c r="L72" s="3">
        <v>-89.6</v>
      </c>
      <c r="M72" s="3">
        <v>8.5999999999999908</v>
      </c>
      <c r="N72" s="12" t="s">
        <v>44</v>
      </c>
      <c r="O72" s="3">
        <v>-116000</v>
      </c>
      <c r="P72" s="12" t="s">
        <v>44</v>
      </c>
      <c r="Q72" s="3">
        <v>-37.4</v>
      </c>
      <c r="R72" s="14" t="s">
        <v>44</v>
      </c>
    </row>
    <row r="73" spans="1:18" ht="28.2" thickBot="1" x14ac:dyDescent="0.35">
      <c r="A73" s="5" t="s">
        <v>125</v>
      </c>
      <c r="B73" s="3" t="s">
        <v>21</v>
      </c>
      <c r="C73" s="3" t="s">
        <v>22</v>
      </c>
      <c r="D73" s="3" t="s">
        <v>23</v>
      </c>
      <c r="E73" s="3" t="s">
        <v>24</v>
      </c>
      <c r="F73" s="4">
        <v>46113</v>
      </c>
      <c r="G73" s="3" t="s">
        <v>18</v>
      </c>
      <c r="H73" s="3" t="s">
        <v>25</v>
      </c>
      <c r="I73" s="3">
        <v>-105</v>
      </c>
      <c r="J73" s="3">
        <v>0.59999999999999798</v>
      </c>
      <c r="K73" s="3">
        <v>-103.6</v>
      </c>
      <c r="L73" s="3">
        <v>-91</v>
      </c>
      <c r="M73" s="3">
        <v>8.5999999999999908</v>
      </c>
      <c r="N73" s="12" t="s">
        <v>44</v>
      </c>
      <c r="O73" s="3">
        <v>-118500</v>
      </c>
      <c r="P73" s="12" t="s">
        <v>44</v>
      </c>
      <c r="Q73" s="3">
        <v>-38</v>
      </c>
      <c r="R73" s="14" t="s">
        <v>44</v>
      </c>
    </row>
    <row r="74" spans="1:18" ht="28.2" thickBot="1" x14ac:dyDescent="0.35">
      <c r="A74" s="5" t="s">
        <v>126</v>
      </c>
      <c r="B74" s="3" t="s">
        <v>27</v>
      </c>
      <c r="C74" s="3" t="s">
        <v>28</v>
      </c>
      <c r="D74" s="3" t="s">
        <v>29</v>
      </c>
      <c r="E74" s="3" t="s">
        <v>30</v>
      </c>
      <c r="F74" s="4">
        <v>46113</v>
      </c>
      <c r="G74" s="3" t="s">
        <v>18</v>
      </c>
      <c r="H74" s="3" t="s">
        <v>31</v>
      </c>
      <c r="I74" s="3">
        <v>-106.6</v>
      </c>
      <c r="J74" s="3">
        <v>0.59999999999999798</v>
      </c>
      <c r="K74" s="3">
        <v>-105.2</v>
      </c>
      <c r="L74" s="3">
        <v>-92.4</v>
      </c>
      <c r="M74" s="3">
        <v>8.5999999999999908</v>
      </c>
      <c r="N74" s="12" t="s">
        <v>44</v>
      </c>
      <c r="O74" s="3">
        <v>-121000</v>
      </c>
      <c r="P74" s="12" t="s">
        <v>44</v>
      </c>
      <c r="Q74" s="3">
        <v>-38.6</v>
      </c>
      <c r="R74" s="14" t="s">
        <v>44</v>
      </c>
    </row>
    <row r="75" spans="1:18" ht="28.2" thickBot="1" x14ac:dyDescent="0.35">
      <c r="A75" s="5" t="s">
        <v>127</v>
      </c>
      <c r="B75" s="3" t="s">
        <v>33</v>
      </c>
      <c r="C75" s="3" t="s">
        <v>15</v>
      </c>
      <c r="D75" s="3" t="s">
        <v>34</v>
      </c>
      <c r="E75" s="3" t="s">
        <v>17</v>
      </c>
      <c r="F75" s="4">
        <v>46113</v>
      </c>
      <c r="G75" s="3" t="s">
        <v>18</v>
      </c>
      <c r="H75" s="3" t="s">
        <v>19</v>
      </c>
      <c r="I75" s="3">
        <v>-108.2</v>
      </c>
      <c r="J75" s="3">
        <v>0.59999999999999798</v>
      </c>
      <c r="K75" s="3">
        <v>-106.8</v>
      </c>
      <c r="L75" s="3">
        <v>-93.8</v>
      </c>
      <c r="M75" s="3">
        <v>8.5999999999999908</v>
      </c>
      <c r="N75" s="12" t="s">
        <v>44</v>
      </c>
      <c r="O75" s="3">
        <v>-123500</v>
      </c>
      <c r="P75" s="12" t="s">
        <v>44</v>
      </c>
      <c r="Q75" s="3">
        <v>-39.200000000000003</v>
      </c>
      <c r="R75" s="14" t="s">
        <v>44</v>
      </c>
    </row>
    <row r="76" spans="1:18" ht="28.2" thickBot="1" x14ac:dyDescent="0.35">
      <c r="A76" s="9" t="s">
        <v>128</v>
      </c>
      <c r="B76" s="10" t="s">
        <v>36</v>
      </c>
      <c r="C76" s="10" t="s">
        <v>22</v>
      </c>
      <c r="D76" s="10" t="s">
        <v>37</v>
      </c>
      <c r="E76" s="10" t="s">
        <v>24</v>
      </c>
      <c r="F76" s="11">
        <v>46113</v>
      </c>
      <c r="G76" s="10" t="s">
        <v>18</v>
      </c>
      <c r="H76" s="10" t="s">
        <v>38</v>
      </c>
      <c r="I76" s="10">
        <v>-109.8</v>
      </c>
      <c r="J76" s="10">
        <v>0.59999999999999798</v>
      </c>
      <c r="K76" s="10">
        <v>-108.4</v>
      </c>
      <c r="L76" s="10">
        <v>-95.2</v>
      </c>
      <c r="M76" s="10">
        <v>8.5999999999999908</v>
      </c>
      <c r="N76" s="15" t="s">
        <v>44</v>
      </c>
      <c r="O76" s="10">
        <v>-126000</v>
      </c>
      <c r="P76" s="15" t="s">
        <v>44</v>
      </c>
      <c r="Q76" s="10">
        <v>-39.799999999999997</v>
      </c>
      <c r="R76" s="16" t="s">
        <v>44</v>
      </c>
    </row>
    <row r="77" spans="1:18" ht="28.2" thickBot="1" x14ac:dyDescent="0.35">
      <c r="A77" s="5" t="s">
        <v>129</v>
      </c>
      <c r="B77" s="3" t="s">
        <v>14</v>
      </c>
      <c r="C77" s="3" t="s">
        <v>15</v>
      </c>
      <c r="D77" s="3" t="s">
        <v>16</v>
      </c>
      <c r="E77" s="3" t="s">
        <v>17</v>
      </c>
      <c r="F77" s="4">
        <v>46113</v>
      </c>
      <c r="G77" s="3" t="s">
        <v>18</v>
      </c>
      <c r="H77" s="3" t="s">
        <v>19</v>
      </c>
      <c r="I77" s="3">
        <v>-111.4</v>
      </c>
      <c r="J77" s="3">
        <v>0.59999999999999698</v>
      </c>
      <c r="K77" s="3">
        <v>-110</v>
      </c>
      <c r="L77" s="3">
        <v>-96.6</v>
      </c>
      <c r="M77" s="3">
        <v>8.5999999999999908</v>
      </c>
      <c r="N77" s="12" t="s">
        <v>44</v>
      </c>
      <c r="O77" s="3">
        <v>-128500</v>
      </c>
      <c r="P77" s="12" t="s">
        <v>44</v>
      </c>
      <c r="Q77" s="3">
        <v>-40.4</v>
      </c>
      <c r="R77" s="14" t="s">
        <v>44</v>
      </c>
    </row>
    <row r="78" spans="1:18" ht="28.2" thickBot="1" x14ac:dyDescent="0.35">
      <c r="A78" s="5" t="s">
        <v>130</v>
      </c>
      <c r="B78" s="3" t="s">
        <v>21</v>
      </c>
      <c r="C78" s="3" t="s">
        <v>22</v>
      </c>
      <c r="D78" s="3" t="s">
        <v>23</v>
      </c>
      <c r="E78" s="3" t="s">
        <v>24</v>
      </c>
      <c r="F78" s="4">
        <v>46113</v>
      </c>
      <c r="G78" s="3" t="s">
        <v>18</v>
      </c>
      <c r="H78" s="3" t="s">
        <v>25</v>
      </c>
      <c r="I78" s="3">
        <v>-113</v>
      </c>
      <c r="J78" s="3">
        <v>0.59999999999999698</v>
      </c>
      <c r="K78" s="3">
        <v>-111.6</v>
      </c>
      <c r="L78" s="3">
        <v>-98</v>
      </c>
      <c r="M78" s="3">
        <v>8.5999999999999908</v>
      </c>
      <c r="N78" s="12" t="s">
        <v>44</v>
      </c>
      <c r="O78" s="3">
        <v>-131000</v>
      </c>
      <c r="P78" s="12" t="s">
        <v>44</v>
      </c>
      <c r="Q78" s="3">
        <v>-41</v>
      </c>
      <c r="R78" s="14" t="s">
        <v>44</v>
      </c>
    </row>
    <row r="79" spans="1:18" ht="28.2" thickBot="1" x14ac:dyDescent="0.35">
      <c r="A79" s="5" t="s">
        <v>131</v>
      </c>
      <c r="B79" s="3" t="s">
        <v>27</v>
      </c>
      <c r="C79" s="3" t="s">
        <v>28</v>
      </c>
      <c r="D79" s="3" t="s">
        <v>29</v>
      </c>
      <c r="E79" s="3" t="s">
        <v>30</v>
      </c>
      <c r="F79" s="4">
        <v>46113</v>
      </c>
      <c r="G79" s="3" t="s">
        <v>18</v>
      </c>
      <c r="H79" s="3" t="s">
        <v>31</v>
      </c>
      <c r="I79" s="3">
        <v>-114.6</v>
      </c>
      <c r="J79" s="3">
        <v>0.59999999999999698</v>
      </c>
      <c r="K79" s="3">
        <v>-113.2</v>
      </c>
      <c r="L79" s="3">
        <v>-99.4</v>
      </c>
      <c r="M79" s="3">
        <v>8.5999999999999908</v>
      </c>
      <c r="N79" s="12" t="s">
        <v>44</v>
      </c>
      <c r="O79" s="3">
        <v>-133500</v>
      </c>
      <c r="P79" s="12" t="s">
        <v>44</v>
      </c>
      <c r="Q79" s="3">
        <v>-41.6</v>
      </c>
      <c r="R79" s="14" t="s">
        <v>44</v>
      </c>
    </row>
    <row r="80" spans="1:18" ht="28.2" thickBot="1" x14ac:dyDescent="0.35">
      <c r="A80" s="5" t="s">
        <v>132</v>
      </c>
      <c r="B80" s="3" t="s">
        <v>33</v>
      </c>
      <c r="C80" s="3" t="s">
        <v>15</v>
      </c>
      <c r="D80" s="3" t="s">
        <v>34</v>
      </c>
      <c r="E80" s="3" t="s">
        <v>17</v>
      </c>
      <c r="F80" s="4">
        <v>46113</v>
      </c>
      <c r="G80" s="3" t="s">
        <v>18</v>
      </c>
      <c r="H80" s="3" t="s">
        <v>19</v>
      </c>
      <c r="I80" s="3">
        <v>-116.2</v>
      </c>
      <c r="J80" s="3">
        <v>0.59999999999999698</v>
      </c>
      <c r="K80" s="3">
        <v>-114.8</v>
      </c>
      <c r="L80" s="3">
        <v>-100.8</v>
      </c>
      <c r="M80" s="3">
        <v>8.5999999999999908</v>
      </c>
      <c r="N80" s="12" t="s">
        <v>44</v>
      </c>
      <c r="O80" s="3">
        <v>-136000</v>
      </c>
      <c r="P80" s="12" t="s">
        <v>44</v>
      </c>
      <c r="Q80" s="3">
        <v>-42.2</v>
      </c>
      <c r="R80" s="14" t="s">
        <v>44</v>
      </c>
    </row>
    <row r="81" spans="1:18" ht="28.2" thickBot="1" x14ac:dyDescent="0.35">
      <c r="A81" s="9" t="s">
        <v>133</v>
      </c>
      <c r="B81" s="10" t="s">
        <v>36</v>
      </c>
      <c r="C81" s="10" t="s">
        <v>22</v>
      </c>
      <c r="D81" s="10" t="s">
        <v>37</v>
      </c>
      <c r="E81" s="10" t="s">
        <v>24</v>
      </c>
      <c r="F81" s="11">
        <v>46113</v>
      </c>
      <c r="G81" s="10" t="s">
        <v>18</v>
      </c>
      <c r="H81" s="10" t="s">
        <v>38</v>
      </c>
      <c r="I81" s="10">
        <v>-117.8</v>
      </c>
      <c r="J81" s="10">
        <v>0.59999999999999698</v>
      </c>
      <c r="K81" s="10">
        <v>-116.4</v>
      </c>
      <c r="L81" s="10">
        <v>-102.2</v>
      </c>
      <c r="M81" s="10">
        <v>8.5999999999999908</v>
      </c>
      <c r="N81" s="15" t="s">
        <v>44</v>
      </c>
      <c r="O81" s="10">
        <v>-138500</v>
      </c>
      <c r="P81" s="15" t="s">
        <v>44</v>
      </c>
      <c r="Q81" s="10">
        <v>-42.8</v>
      </c>
      <c r="R81" s="16" t="s">
        <v>44</v>
      </c>
    </row>
    <row r="82" spans="1:18" ht="28.2" thickBot="1" x14ac:dyDescent="0.35">
      <c r="A82" s="5" t="s">
        <v>134</v>
      </c>
      <c r="B82" s="3" t="s">
        <v>14</v>
      </c>
      <c r="C82" s="3" t="s">
        <v>15</v>
      </c>
      <c r="D82" s="3" t="s">
        <v>16</v>
      </c>
      <c r="E82" s="3" t="s">
        <v>17</v>
      </c>
      <c r="F82" s="4">
        <v>46113</v>
      </c>
      <c r="G82" s="3" t="s">
        <v>18</v>
      </c>
      <c r="H82" s="3" t="s">
        <v>19</v>
      </c>
      <c r="I82" s="3">
        <v>-119.4</v>
      </c>
      <c r="J82" s="3">
        <v>0.59999999999999698</v>
      </c>
      <c r="K82" s="3">
        <v>-118</v>
      </c>
      <c r="L82" s="3">
        <v>-103.6</v>
      </c>
      <c r="M82" s="3">
        <v>8.5999999999999908</v>
      </c>
      <c r="N82" s="12" t="s">
        <v>44</v>
      </c>
      <c r="O82" s="3">
        <v>-141000</v>
      </c>
      <c r="P82" s="12" t="s">
        <v>44</v>
      </c>
      <c r="Q82" s="3">
        <v>-43.4</v>
      </c>
      <c r="R82" s="14" t="s">
        <v>44</v>
      </c>
    </row>
    <row r="83" spans="1:18" ht="28.2" thickBot="1" x14ac:dyDescent="0.35">
      <c r="A83" s="5" t="s">
        <v>135</v>
      </c>
      <c r="B83" s="3" t="s">
        <v>21</v>
      </c>
      <c r="C83" s="3" t="s">
        <v>22</v>
      </c>
      <c r="D83" s="3" t="s">
        <v>23</v>
      </c>
      <c r="E83" s="3" t="s">
        <v>24</v>
      </c>
      <c r="F83" s="4">
        <v>46113</v>
      </c>
      <c r="G83" s="3" t="s">
        <v>18</v>
      </c>
      <c r="H83" s="3" t="s">
        <v>25</v>
      </c>
      <c r="I83" s="3">
        <v>-121</v>
      </c>
      <c r="J83" s="3">
        <v>0.59999999999999698</v>
      </c>
      <c r="K83" s="3">
        <v>-119.6</v>
      </c>
      <c r="L83" s="3">
        <v>-105</v>
      </c>
      <c r="M83" s="3">
        <v>8.5999999999999908</v>
      </c>
      <c r="N83" s="12" t="s">
        <v>44</v>
      </c>
      <c r="O83" s="3">
        <v>-143500</v>
      </c>
      <c r="P83" s="12" t="s">
        <v>44</v>
      </c>
      <c r="Q83" s="3">
        <v>-44</v>
      </c>
      <c r="R83" s="14" t="s">
        <v>44</v>
      </c>
    </row>
    <row r="84" spans="1:18" ht="28.2" thickBot="1" x14ac:dyDescent="0.35">
      <c r="A84" s="5" t="s">
        <v>136</v>
      </c>
      <c r="B84" s="3" t="s">
        <v>27</v>
      </c>
      <c r="C84" s="3" t="s">
        <v>28</v>
      </c>
      <c r="D84" s="3" t="s">
        <v>29</v>
      </c>
      <c r="E84" s="3" t="s">
        <v>30</v>
      </c>
      <c r="F84" s="4">
        <v>46113</v>
      </c>
      <c r="G84" s="3" t="s">
        <v>18</v>
      </c>
      <c r="H84" s="3" t="s">
        <v>31</v>
      </c>
      <c r="I84" s="3">
        <v>-122.6</v>
      </c>
      <c r="J84" s="3">
        <v>0.59999999999999698</v>
      </c>
      <c r="K84" s="3">
        <v>-121.2</v>
      </c>
      <c r="L84" s="3">
        <v>-106.4</v>
      </c>
      <c r="M84" s="3">
        <v>8.5999999999999908</v>
      </c>
      <c r="N84" s="12" t="s">
        <v>44</v>
      </c>
      <c r="O84" s="3">
        <v>-146000</v>
      </c>
      <c r="P84" s="12" t="s">
        <v>44</v>
      </c>
      <c r="Q84" s="3">
        <v>-44.6</v>
      </c>
      <c r="R84" s="14" t="s">
        <v>44</v>
      </c>
    </row>
    <row r="85" spans="1:18" ht="28.2" thickBot="1" x14ac:dyDescent="0.35">
      <c r="A85" s="5" t="s">
        <v>137</v>
      </c>
      <c r="B85" s="3" t="s">
        <v>33</v>
      </c>
      <c r="C85" s="3" t="s">
        <v>15</v>
      </c>
      <c r="D85" s="3" t="s">
        <v>34</v>
      </c>
      <c r="E85" s="3" t="s">
        <v>17</v>
      </c>
      <c r="F85" s="4">
        <v>46113</v>
      </c>
      <c r="G85" s="3" t="s">
        <v>18</v>
      </c>
      <c r="H85" s="3" t="s">
        <v>19</v>
      </c>
      <c r="I85" s="3">
        <v>-124.2</v>
      </c>
      <c r="J85" s="3">
        <v>0.59999999999999698</v>
      </c>
      <c r="K85" s="3">
        <v>-122.8</v>
      </c>
      <c r="L85" s="3">
        <v>-107.8</v>
      </c>
      <c r="M85" s="3">
        <v>8.5999999999999908</v>
      </c>
      <c r="N85" s="12" t="s">
        <v>44</v>
      </c>
      <c r="O85" s="3">
        <v>-148500</v>
      </c>
      <c r="P85" s="12" t="s">
        <v>44</v>
      </c>
      <c r="Q85" s="3">
        <v>-45.2</v>
      </c>
      <c r="R85" s="14" t="s">
        <v>44</v>
      </c>
    </row>
    <row r="86" spans="1:18" ht="28.2" thickBot="1" x14ac:dyDescent="0.35">
      <c r="A86" s="9" t="s">
        <v>138</v>
      </c>
      <c r="B86" s="10" t="s">
        <v>36</v>
      </c>
      <c r="C86" s="10" t="s">
        <v>22</v>
      </c>
      <c r="D86" s="10" t="s">
        <v>37</v>
      </c>
      <c r="E86" s="10" t="s">
        <v>24</v>
      </c>
      <c r="F86" s="11">
        <v>46113</v>
      </c>
      <c r="G86" s="10" t="s">
        <v>18</v>
      </c>
      <c r="H86" s="10" t="s">
        <v>38</v>
      </c>
      <c r="I86" s="10">
        <v>-125.8</v>
      </c>
      <c r="J86" s="10">
        <v>0.59999999999999698</v>
      </c>
      <c r="K86" s="10">
        <v>-124.4</v>
      </c>
      <c r="L86" s="10">
        <v>-109.2</v>
      </c>
      <c r="M86" s="10">
        <v>8.5999999999999908</v>
      </c>
      <c r="N86" s="15" t="s">
        <v>44</v>
      </c>
      <c r="O86" s="10">
        <v>-151000</v>
      </c>
      <c r="P86" s="15" t="s">
        <v>44</v>
      </c>
      <c r="Q86" s="10">
        <v>-45.8</v>
      </c>
      <c r="R86" s="16" t="s">
        <v>44</v>
      </c>
    </row>
    <row r="87" spans="1:18" ht="28.2" thickBot="1" x14ac:dyDescent="0.35">
      <c r="A87" s="5" t="s">
        <v>139</v>
      </c>
      <c r="B87" s="3" t="s">
        <v>14</v>
      </c>
      <c r="C87" s="3" t="s">
        <v>15</v>
      </c>
      <c r="D87" s="3" t="s">
        <v>16</v>
      </c>
      <c r="E87" s="3" t="s">
        <v>17</v>
      </c>
      <c r="F87" s="4">
        <v>46113</v>
      </c>
      <c r="G87" s="3" t="s">
        <v>18</v>
      </c>
      <c r="H87" s="3" t="s">
        <v>19</v>
      </c>
      <c r="I87" s="3">
        <v>-127.4</v>
      </c>
      <c r="J87" s="3">
        <v>0.59999999999999698</v>
      </c>
      <c r="K87" s="3">
        <v>-126</v>
      </c>
      <c r="L87" s="3">
        <v>-110.6</v>
      </c>
      <c r="M87" s="3">
        <v>8.5999999999999908</v>
      </c>
      <c r="N87" s="12" t="s">
        <v>44</v>
      </c>
      <c r="O87" s="3">
        <v>-153500</v>
      </c>
      <c r="P87" s="12" t="s">
        <v>44</v>
      </c>
      <c r="Q87" s="3">
        <v>-46.4</v>
      </c>
      <c r="R87" s="14" t="s">
        <v>44</v>
      </c>
    </row>
    <row r="88" spans="1:18" ht="28.2" thickBot="1" x14ac:dyDescent="0.35">
      <c r="A88" s="5" t="s">
        <v>140</v>
      </c>
      <c r="B88" s="3" t="s">
        <v>21</v>
      </c>
      <c r="C88" s="3" t="s">
        <v>22</v>
      </c>
      <c r="D88" s="3" t="s">
        <v>23</v>
      </c>
      <c r="E88" s="3" t="s">
        <v>24</v>
      </c>
      <c r="F88" s="4">
        <v>46113</v>
      </c>
      <c r="G88" s="3" t="s">
        <v>18</v>
      </c>
      <c r="H88" s="3" t="s">
        <v>25</v>
      </c>
      <c r="I88" s="3">
        <v>-129</v>
      </c>
      <c r="J88" s="3">
        <v>0.59999999999999698</v>
      </c>
      <c r="K88" s="3">
        <v>-127.6</v>
      </c>
      <c r="L88" s="3">
        <v>-112</v>
      </c>
      <c r="M88" s="3">
        <v>8.5999999999999908</v>
      </c>
      <c r="N88" s="12" t="s">
        <v>44</v>
      </c>
      <c r="O88" s="3">
        <v>-156000</v>
      </c>
      <c r="P88" s="12" t="s">
        <v>44</v>
      </c>
      <c r="Q88" s="3">
        <v>-47</v>
      </c>
      <c r="R88" s="14" t="s">
        <v>44</v>
      </c>
    </row>
    <row r="89" spans="1:18" ht="28.2" thickBot="1" x14ac:dyDescent="0.35">
      <c r="A89" s="5" t="s">
        <v>141</v>
      </c>
      <c r="B89" s="3" t="s">
        <v>27</v>
      </c>
      <c r="C89" s="3" t="s">
        <v>28</v>
      </c>
      <c r="D89" s="3" t="s">
        <v>29</v>
      </c>
      <c r="E89" s="3" t="s">
        <v>30</v>
      </c>
      <c r="F89" s="4">
        <v>46113</v>
      </c>
      <c r="G89" s="3" t="s">
        <v>18</v>
      </c>
      <c r="H89" s="3" t="s">
        <v>31</v>
      </c>
      <c r="I89" s="3">
        <v>-130.6</v>
      </c>
      <c r="J89" s="3">
        <v>0.59999999999999698</v>
      </c>
      <c r="K89" s="3">
        <v>-129.19999999999999</v>
      </c>
      <c r="L89" s="3">
        <v>-113.4</v>
      </c>
      <c r="M89" s="3">
        <v>8.5999999999999908</v>
      </c>
      <c r="N89" s="12" t="s">
        <v>44</v>
      </c>
      <c r="O89" s="3">
        <v>-158500</v>
      </c>
      <c r="P89" s="12" t="s">
        <v>44</v>
      </c>
      <c r="Q89" s="3">
        <v>-47.6</v>
      </c>
      <c r="R89" s="14" t="s">
        <v>44</v>
      </c>
    </row>
    <row r="90" spans="1:18" ht="28.2" thickBot="1" x14ac:dyDescent="0.35">
      <c r="A90" s="5" t="s">
        <v>142</v>
      </c>
      <c r="B90" s="3" t="s">
        <v>33</v>
      </c>
      <c r="C90" s="3" t="s">
        <v>15</v>
      </c>
      <c r="D90" s="3" t="s">
        <v>34</v>
      </c>
      <c r="E90" s="3" t="s">
        <v>17</v>
      </c>
      <c r="F90" s="4">
        <v>46113</v>
      </c>
      <c r="G90" s="3" t="s">
        <v>18</v>
      </c>
      <c r="H90" s="3" t="s">
        <v>19</v>
      </c>
      <c r="I90" s="3">
        <v>-132.19999999999999</v>
      </c>
      <c r="J90" s="3">
        <v>0.59999999999999698</v>
      </c>
      <c r="K90" s="3">
        <v>-130.80000000000001</v>
      </c>
      <c r="L90" s="3">
        <v>-114.8</v>
      </c>
      <c r="M90" s="3">
        <v>8.5999999999999908</v>
      </c>
      <c r="N90" s="12" t="s">
        <v>44</v>
      </c>
      <c r="O90" s="3">
        <v>-161000</v>
      </c>
      <c r="P90" s="12" t="s">
        <v>44</v>
      </c>
      <c r="Q90" s="3">
        <v>-48.2</v>
      </c>
      <c r="R90" s="14" t="s">
        <v>44</v>
      </c>
    </row>
    <row r="91" spans="1:18" ht="28.2" thickBot="1" x14ac:dyDescent="0.35">
      <c r="A91" s="9" t="s">
        <v>143</v>
      </c>
      <c r="B91" s="10" t="s">
        <v>36</v>
      </c>
      <c r="C91" s="10" t="s">
        <v>22</v>
      </c>
      <c r="D91" s="10" t="s">
        <v>37</v>
      </c>
      <c r="E91" s="10" t="s">
        <v>24</v>
      </c>
      <c r="F91" s="11">
        <v>46113</v>
      </c>
      <c r="G91" s="10" t="s">
        <v>18</v>
      </c>
      <c r="H91" s="10" t="s">
        <v>38</v>
      </c>
      <c r="I91" s="10">
        <v>-133.80000000000001</v>
      </c>
      <c r="J91" s="10">
        <v>0.59999999999999698</v>
      </c>
      <c r="K91" s="10">
        <v>-132.4</v>
      </c>
      <c r="L91" s="10">
        <v>-116.2</v>
      </c>
      <c r="M91" s="10">
        <v>8.5999999999999908</v>
      </c>
      <c r="N91" s="15" t="s">
        <v>44</v>
      </c>
      <c r="O91" s="10">
        <v>-163500</v>
      </c>
      <c r="P91" s="15" t="s">
        <v>44</v>
      </c>
      <c r="Q91" s="10">
        <v>-48.8</v>
      </c>
      <c r="R91" s="16" t="s">
        <v>44</v>
      </c>
    </row>
    <row r="92" spans="1:18" ht="28.2" thickBot="1" x14ac:dyDescent="0.35">
      <c r="A92" s="5" t="s">
        <v>144</v>
      </c>
      <c r="B92" s="3" t="s">
        <v>14</v>
      </c>
      <c r="C92" s="3" t="s">
        <v>15</v>
      </c>
      <c r="D92" s="3" t="s">
        <v>16</v>
      </c>
      <c r="E92" s="3" t="s">
        <v>17</v>
      </c>
      <c r="F92" s="4">
        <v>46113</v>
      </c>
      <c r="G92" s="3" t="s">
        <v>18</v>
      </c>
      <c r="H92" s="3" t="s">
        <v>19</v>
      </c>
      <c r="I92" s="3">
        <v>-135.4</v>
      </c>
      <c r="J92" s="3">
        <v>0.59999999999999698</v>
      </c>
      <c r="K92" s="3">
        <v>-134</v>
      </c>
      <c r="L92" s="3">
        <v>-117.6</v>
      </c>
      <c r="M92" s="3">
        <v>8.5999999999999908</v>
      </c>
      <c r="N92" s="12" t="s">
        <v>44</v>
      </c>
      <c r="O92" s="3">
        <v>-166000</v>
      </c>
      <c r="P92" s="12" t="s">
        <v>44</v>
      </c>
      <c r="Q92" s="3">
        <v>-49.4</v>
      </c>
      <c r="R92" s="14" t="s">
        <v>44</v>
      </c>
    </row>
    <row r="93" spans="1:18" ht="28.2" thickBot="1" x14ac:dyDescent="0.35">
      <c r="A93" s="5" t="s">
        <v>145</v>
      </c>
      <c r="B93" s="3" t="s">
        <v>21</v>
      </c>
      <c r="C93" s="3" t="s">
        <v>22</v>
      </c>
      <c r="D93" s="3" t="s">
        <v>23</v>
      </c>
      <c r="E93" s="3" t="s">
        <v>24</v>
      </c>
      <c r="F93" s="4">
        <v>46113</v>
      </c>
      <c r="G93" s="3" t="s">
        <v>18</v>
      </c>
      <c r="H93" s="3" t="s">
        <v>25</v>
      </c>
      <c r="I93" s="3">
        <v>-137</v>
      </c>
      <c r="J93" s="3">
        <v>0.59999999999999698</v>
      </c>
      <c r="K93" s="3">
        <v>-135.6</v>
      </c>
      <c r="L93" s="3">
        <v>-119</v>
      </c>
      <c r="M93" s="3">
        <v>8.5999999999999908</v>
      </c>
      <c r="N93" s="12" t="s">
        <v>44</v>
      </c>
      <c r="O93" s="3">
        <v>-168500</v>
      </c>
      <c r="P93" s="12" t="s">
        <v>44</v>
      </c>
      <c r="Q93" s="3">
        <v>-50</v>
      </c>
      <c r="R93" s="14" t="s">
        <v>44</v>
      </c>
    </row>
    <row r="94" spans="1:18" ht="28.2" thickBot="1" x14ac:dyDescent="0.35">
      <c r="A94" s="5" t="s">
        <v>146</v>
      </c>
      <c r="B94" s="3" t="s">
        <v>27</v>
      </c>
      <c r="C94" s="3" t="s">
        <v>28</v>
      </c>
      <c r="D94" s="3" t="s">
        <v>29</v>
      </c>
      <c r="E94" s="3" t="s">
        <v>30</v>
      </c>
      <c r="F94" s="4">
        <v>46113</v>
      </c>
      <c r="G94" s="3" t="s">
        <v>18</v>
      </c>
      <c r="H94" s="3" t="s">
        <v>31</v>
      </c>
      <c r="I94" s="3">
        <v>-138.6</v>
      </c>
      <c r="J94" s="3">
        <v>0.59999999999999698</v>
      </c>
      <c r="K94" s="3">
        <v>-137.19999999999999</v>
      </c>
      <c r="L94" s="3">
        <v>-120.4</v>
      </c>
      <c r="M94" s="3">
        <v>8.5999999999999908</v>
      </c>
      <c r="N94" s="12" t="s">
        <v>44</v>
      </c>
      <c r="O94" s="3">
        <v>-171000</v>
      </c>
      <c r="P94" s="12" t="s">
        <v>44</v>
      </c>
      <c r="Q94" s="3">
        <v>-50.6</v>
      </c>
      <c r="R94" s="14" t="s">
        <v>44</v>
      </c>
    </row>
    <row r="95" spans="1:18" ht="28.2" thickBot="1" x14ac:dyDescent="0.35">
      <c r="A95" s="5" t="s">
        <v>147</v>
      </c>
      <c r="B95" s="3" t="s">
        <v>33</v>
      </c>
      <c r="C95" s="3" t="s">
        <v>15</v>
      </c>
      <c r="D95" s="3" t="s">
        <v>34</v>
      </c>
      <c r="E95" s="3" t="s">
        <v>17</v>
      </c>
      <c r="F95" s="4">
        <v>46113</v>
      </c>
      <c r="G95" s="3" t="s">
        <v>18</v>
      </c>
      <c r="H95" s="3" t="s">
        <v>19</v>
      </c>
      <c r="I95" s="3">
        <v>-140.19999999999999</v>
      </c>
      <c r="J95" s="3">
        <v>0.59999999999999698</v>
      </c>
      <c r="K95" s="3">
        <v>-138.80000000000001</v>
      </c>
      <c r="L95" s="3">
        <v>-121.8</v>
      </c>
      <c r="M95" s="3">
        <v>8.5999999999999908</v>
      </c>
      <c r="N95" s="12" t="s">
        <v>44</v>
      </c>
      <c r="O95" s="3">
        <v>-173500</v>
      </c>
      <c r="P95" s="12" t="s">
        <v>44</v>
      </c>
      <c r="Q95" s="3">
        <v>-51.2</v>
      </c>
      <c r="R95" s="14" t="s">
        <v>44</v>
      </c>
    </row>
    <row r="96" spans="1:18" ht="28.2" thickBot="1" x14ac:dyDescent="0.35">
      <c r="A96" s="9" t="s">
        <v>148</v>
      </c>
      <c r="B96" s="10" t="s">
        <v>36</v>
      </c>
      <c r="C96" s="10" t="s">
        <v>22</v>
      </c>
      <c r="D96" s="10" t="s">
        <v>37</v>
      </c>
      <c r="E96" s="10" t="s">
        <v>24</v>
      </c>
      <c r="F96" s="11">
        <v>46113</v>
      </c>
      <c r="G96" s="10" t="s">
        <v>18</v>
      </c>
      <c r="H96" s="10" t="s">
        <v>38</v>
      </c>
      <c r="I96" s="10">
        <v>-141.80000000000001</v>
      </c>
      <c r="J96" s="10">
        <v>0.59999999999999698</v>
      </c>
      <c r="K96" s="10">
        <v>-140.4</v>
      </c>
      <c r="L96" s="10">
        <v>-123.2</v>
      </c>
      <c r="M96" s="10">
        <v>8.5999999999999908</v>
      </c>
      <c r="N96" s="15" t="s">
        <v>44</v>
      </c>
      <c r="O96" s="10">
        <v>-176000</v>
      </c>
      <c r="P96" s="15" t="s">
        <v>44</v>
      </c>
      <c r="Q96" s="10">
        <v>-51.8</v>
      </c>
      <c r="R96" s="16" t="s">
        <v>44</v>
      </c>
    </row>
    <row r="97" spans="1:18" ht="28.2" thickBot="1" x14ac:dyDescent="0.35">
      <c r="A97" s="5" t="s">
        <v>149</v>
      </c>
      <c r="B97" s="3" t="s">
        <v>14</v>
      </c>
      <c r="C97" s="3" t="s">
        <v>15</v>
      </c>
      <c r="D97" s="3" t="s">
        <v>16</v>
      </c>
      <c r="E97" s="3" t="s">
        <v>17</v>
      </c>
      <c r="F97" s="4">
        <v>46113</v>
      </c>
      <c r="G97" s="3" t="s">
        <v>18</v>
      </c>
      <c r="H97" s="3" t="s">
        <v>19</v>
      </c>
      <c r="I97" s="3">
        <v>-143.4</v>
      </c>
      <c r="J97" s="3">
        <v>0.59999999999999698</v>
      </c>
      <c r="K97" s="3">
        <v>-142</v>
      </c>
      <c r="L97" s="3">
        <v>-124.6</v>
      </c>
      <c r="M97" s="3">
        <v>8.5999999999999908</v>
      </c>
      <c r="N97" s="12" t="s">
        <v>44</v>
      </c>
      <c r="O97" s="3">
        <v>-178500</v>
      </c>
      <c r="P97" s="12" t="s">
        <v>44</v>
      </c>
      <c r="Q97" s="3">
        <v>-52.4</v>
      </c>
      <c r="R97" s="14" t="s">
        <v>44</v>
      </c>
    </row>
    <row r="98" spans="1:18" ht="28.2" thickBot="1" x14ac:dyDescent="0.35">
      <c r="A98" s="5" t="s">
        <v>150</v>
      </c>
      <c r="B98" s="3" t="s">
        <v>21</v>
      </c>
      <c r="C98" s="3" t="s">
        <v>22</v>
      </c>
      <c r="D98" s="3" t="s">
        <v>23</v>
      </c>
      <c r="E98" s="3" t="s">
        <v>24</v>
      </c>
      <c r="F98" s="4">
        <v>46113</v>
      </c>
      <c r="G98" s="3" t="s">
        <v>18</v>
      </c>
      <c r="H98" s="3" t="s">
        <v>25</v>
      </c>
      <c r="I98" s="3">
        <v>-145</v>
      </c>
      <c r="J98" s="3">
        <v>0.59999999999999698</v>
      </c>
      <c r="K98" s="3">
        <v>-143.6</v>
      </c>
      <c r="L98" s="3">
        <v>-126</v>
      </c>
      <c r="M98" s="3">
        <v>8.5999999999999908</v>
      </c>
      <c r="N98" s="12" t="s">
        <v>44</v>
      </c>
      <c r="O98" s="3">
        <v>-181000</v>
      </c>
      <c r="P98" s="12" t="s">
        <v>44</v>
      </c>
      <c r="Q98" s="3">
        <v>-53</v>
      </c>
      <c r="R98" s="14" t="s">
        <v>44</v>
      </c>
    </row>
    <row r="99" spans="1:18" ht="28.2" thickBot="1" x14ac:dyDescent="0.35">
      <c r="A99" s="5" t="s">
        <v>151</v>
      </c>
      <c r="B99" s="3" t="s">
        <v>27</v>
      </c>
      <c r="C99" s="3" t="s">
        <v>28</v>
      </c>
      <c r="D99" s="3" t="s">
        <v>29</v>
      </c>
      <c r="E99" s="3" t="s">
        <v>30</v>
      </c>
      <c r="F99" s="4">
        <v>46113</v>
      </c>
      <c r="G99" s="3" t="s">
        <v>18</v>
      </c>
      <c r="H99" s="3" t="s">
        <v>31</v>
      </c>
      <c r="I99" s="3">
        <v>-146.6</v>
      </c>
      <c r="J99" s="3">
        <v>0.59999999999999698</v>
      </c>
      <c r="K99" s="3">
        <v>-145.19999999999999</v>
      </c>
      <c r="L99" s="3">
        <v>-127.4</v>
      </c>
      <c r="M99" s="3">
        <v>8.5999999999999908</v>
      </c>
      <c r="N99" s="12" t="s">
        <v>44</v>
      </c>
      <c r="O99" s="3">
        <v>-183500</v>
      </c>
      <c r="P99" s="12" t="s">
        <v>44</v>
      </c>
      <c r="Q99" s="3">
        <v>-53.6</v>
      </c>
      <c r="R99" s="14" t="s">
        <v>44</v>
      </c>
    </row>
    <row r="100" spans="1:18" ht="28.2" thickBot="1" x14ac:dyDescent="0.35">
      <c r="A100" s="5" t="s">
        <v>152</v>
      </c>
      <c r="B100" s="3" t="s">
        <v>33</v>
      </c>
      <c r="C100" s="3" t="s">
        <v>15</v>
      </c>
      <c r="D100" s="3" t="s">
        <v>34</v>
      </c>
      <c r="E100" s="3" t="s">
        <v>17</v>
      </c>
      <c r="F100" s="4">
        <v>46113</v>
      </c>
      <c r="G100" s="3" t="s">
        <v>18</v>
      </c>
      <c r="H100" s="3" t="s">
        <v>19</v>
      </c>
      <c r="I100" s="3">
        <v>-148.19999999999999</v>
      </c>
      <c r="J100" s="3">
        <v>0.59999999999999698</v>
      </c>
      <c r="K100" s="3">
        <v>-146.80000000000001</v>
      </c>
      <c r="L100" s="3">
        <v>-128.80000000000001</v>
      </c>
      <c r="M100" s="3">
        <v>8.5999999999999908</v>
      </c>
      <c r="N100" s="12" t="s">
        <v>44</v>
      </c>
      <c r="O100" s="3">
        <v>-186000</v>
      </c>
      <c r="P100" s="12" t="s">
        <v>44</v>
      </c>
      <c r="Q100" s="3">
        <v>-54.2</v>
      </c>
      <c r="R100" s="14" t="s">
        <v>44</v>
      </c>
    </row>
    <row r="101" spans="1:18" ht="27.6" x14ac:dyDescent="0.3">
      <c r="A101" s="9" t="s">
        <v>153</v>
      </c>
      <c r="B101" s="10" t="s">
        <v>36</v>
      </c>
      <c r="C101" s="10" t="s">
        <v>22</v>
      </c>
      <c r="D101" s="10" t="s">
        <v>37</v>
      </c>
      <c r="E101" s="10" t="s">
        <v>24</v>
      </c>
      <c r="F101" s="11">
        <v>46113</v>
      </c>
      <c r="G101" s="10" t="s">
        <v>18</v>
      </c>
      <c r="H101" s="10" t="s">
        <v>38</v>
      </c>
      <c r="I101" s="10">
        <v>-149.80000000000001</v>
      </c>
      <c r="J101" s="10">
        <v>0.59999999999999698</v>
      </c>
      <c r="K101" s="10">
        <v>-148.4</v>
      </c>
      <c r="L101" s="10">
        <v>-130.19999999999999</v>
      </c>
      <c r="M101" s="10">
        <v>8.5999999999999908</v>
      </c>
      <c r="N101" s="15" t="s">
        <v>44</v>
      </c>
      <c r="O101" s="10">
        <v>-188500</v>
      </c>
      <c r="P101" s="15" t="s">
        <v>44</v>
      </c>
      <c r="Q101" s="10">
        <v>-54.8</v>
      </c>
      <c r="R101" s="16" t="s">
        <v>44</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3502-C7BE-4422-B74F-35591C8D75E6}">
  <dimension ref="A1:R101"/>
  <sheetViews>
    <sheetView topLeftCell="B1" workbookViewId="0">
      <selection activeCell="H13" sqref="H13"/>
    </sheetView>
  </sheetViews>
  <sheetFormatPr defaultRowHeight="14.4" x14ac:dyDescent="0.3"/>
  <cols>
    <col min="1" max="1" width="11.21875" customWidth="1"/>
    <col min="2" max="2" width="9.88671875" customWidth="1"/>
    <col min="5" max="5" width="12.5546875" customWidth="1"/>
    <col min="7" max="7" width="11.6640625" customWidth="1"/>
    <col min="8" max="8" width="10.33203125" customWidth="1"/>
    <col min="9" max="9" width="13.109375" customWidth="1"/>
    <col min="11" max="11" width="15.5546875" customWidth="1"/>
    <col min="12" max="12" width="14.44140625" customWidth="1"/>
    <col min="13" max="13" width="10.44140625" customWidth="1"/>
    <col min="14" max="14" width="16.77734375" customWidth="1"/>
    <col min="15" max="15" width="18" customWidth="1"/>
    <col min="16" max="16" width="16.44140625" customWidth="1"/>
    <col min="18" max="18" width="12.33203125" customWidth="1"/>
  </cols>
  <sheetData>
    <row r="1" spans="1:18" ht="15" thickBot="1" x14ac:dyDescent="0.35">
      <c r="A1" s="1" t="s">
        <v>0</v>
      </c>
      <c r="B1" s="1" t="s">
        <v>1</v>
      </c>
      <c r="C1" s="1" t="s">
        <v>2</v>
      </c>
      <c r="D1" s="1" t="s">
        <v>3</v>
      </c>
      <c r="E1" s="1" t="s">
        <v>39</v>
      </c>
      <c r="F1" s="1" t="s">
        <v>4</v>
      </c>
      <c r="G1" s="1" t="s">
        <v>5</v>
      </c>
      <c r="H1" s="1" t="s">
        <v>6</v>
      </c>
      <c r="I1" s="1" t="s">
        <v>7</v>
      </c>
      <c r="J1" s="1" t="s">
        <v>8</v>
      </c>
      <c r="K1" s="1" t="s">
        <v>9</v>
      </c>
      <c r="L1" s="1" t="s">
        <v>10</v>
      </c>
      <c r="M1" s="1" t="s">
        <v>11</v>
      </c>
      <c r="N1" s="1" t="s">
        <v>40</v>
      </c>
      <c r="O1" s="1" t="s">
        <v>12</v>
      </c>
      <c r="P1" s="1" t="s">
        <v>41</v>
      </c>
      <c r="Q1" s="1" t="s">
        <v>42</v>
      </c>
      <c r="R1" s="2" t="s">
        <v>43</v>
      </c>
    </row>
    <row r="2" spans="1:18" ht="29.4" thickBot="1" x14ac:dyDescent="0.35">
      <c r="A2" s="3" t="s">
        <v>13</v>
      </c>
      <c r="B2" s="3" t="s">
        <v>14</v>
      </c>
      <c r="C2" s="3" t="s">
        <v>15</v>
      </c>
      <c r="D2" s="3" t="s">
        <v>16</v>
      </c>
      <c r="E2" s="3" t="s">
        <v>17</v>
      </c>
      <c r="F2" s="4">
        <v>46113</v>
      </c>
      <c r="G2" s="3" t="s">
        <v>54</v>
      </c>
      <c r="H2" s="3" t="s">
        <v>19</v>
      </c>
      <c r="I2" s="3">
        <v>9</v>
      </c>
      <c r="J2" s="3">
        <v>1</v>
      </c>
      <c r="K2" s="3">
        <v>12</v>
      </c>
      <c r="L2" s="3">
        <v>8</v>
      </c>
      <c r="M2" s="3">
        <v>10</v>
      </c>
      <c r="N2" s="12">
        <f>Table1[[#This Row],[Tasks Done]]/Table1[[#This Row],[Target]]</f>
        <v>1.2</v>
      </c>
      <c r="O2" s="3">
        <v>45000</v>
      </c>
      <c r="P2" s="12" t="str">
        <f>IF(Table1[[#This Row],[Achieve %]]&gt;0.9,"Yes","No")</f>
        <v>Yes</v>
      </c>
      <c r="Q2" s="3">
        <v>4</v>
      </c>
      <c r="R2" s="13" t="str">
        <f>IF(Table1[[#This Row],[Perf Score]]&gt;=8,"Top Performer", "Needs Training")</f>
        <v>Top Performer</v>
      </c>
    </row>
    <row r="3" spans="1:18" ht="29.4" thickBot="1" x14ac:dyDescent="0.35">
      <c r="A3" s="3" t="s">
        <v>20</v>
      </c>
      <c r="B3" s="3" t="s">
        <v>21</v>
      </c>
      <c r="C3" s="3" t="s">
        <v>22</v>
      </c>
      <c r="D3" s="3" t="s">
        <v>23</v>
      </c>
      <c r="E3" s="3" t="s">
        <v>24</v>
      </c>
      <c r="F3" s="4">
        <v>46113</v>
      </c>
      <c r="G3" s="3" t="s">
        <v>55</v>
      </c>
      <c r="H3" s="3" t="s">
        <v>25</v>
      </c>
      <c r="I3" s="3">
        <v>8</v>
      </c>
      <c r="J3" s="3">
        <v>0</v>
      </c>
      <c r="K3" s="3">
        <v>7</v>
      </c>
      <c r="L3" s="3">
        <v>9</v>
      </c>
      <c r="M3" s="3">
        <v>8</v>
      </c>
      <c r="N3" s="12">
        <f>Table1[[#This Row],[Tasks Done]]/Table1[[#This Row],[Target]]</f>
        <v>0.875</v>
      </c>
      <c r="O3" s="3">
        <v>75000</v>
      </c>
      <c r="P3" s="12" t="str">
        <f>IF(Table1[[#This Row],[Achieve %]]&gt;0.9,"Yes","No")</f>
        <v>No</v>
      </c>
      <c r="Q3" s="3">
        <v>5</v>
      </c>
      <c r="R3" s="13" t="str">
        <f>IF(Table1[[#This Row],[Perf Score]]&gt;=8,"Top Performer", "Needs Training")</f>
        <v>Top Performer</v>
      </c>
    </row>
    <row r="4" spans="1:18" ht="29.4" thickBot="1" x14ac:dyDescent="0.35">
      <c r="A4" s="3" t="s">
        <v>26</v>
      </c>
      <c r="B4" s="3" t="s">
        <v>27</v>
      </c>
      <c r="C4" s="3" t="s">
        <v>28</v>
      </c>
      <c r="D4" s="3" t="s">
        <v>29</v>
      </c>
      <c r="E4" s="3" t="s">
        <v>30</v>
      </c>
      <c r="F4" s="4">
        <v>46113</v>
      </c>
      <c r="G4" s="3" t="s">
        <v>56</v>
      </c>
      <c r="H4" s="3" t="s">
        <v>31</v>
      </c>
      <c r="I4" s="3">
        <v>0</v>
      </c>
      <c r="J4" s="3">
        <v>0</v>
      </c>
      <c r="K4" s="3">
        <v>0</v>
      </c>
      <c r="L4" s="3">
        <v>1</v>
      </c>
      <c r="M4" s="3">
        <v>5</v>
      </c>
      <c r="N4" s="12">
        <f>Table1[[#This Row],[Tasks Done]]/Table1[[#This Row],[Target]]</f>
        <v>0</v>
      </c>
      <c r="O4" s="3">
        <v>50000</v>
      </c>
      <c r="P4" s="12" t="str">
        <f>IF(Table1[[#This Row],[Achieve %]]&gt;0.9,"Yes","No")</f>
        <v>No</v>
      </c>
      <c r="Q4" s="3">
        <v>2</v>
      </c>
      <c r="R4" s="13" t="str">
        <f>IF(Table1[[#This Row],[Perf Score]]&gt;=8,"Top Performer", "Needs Training")</f>
        <v>Needs Training</v>
      </c>
    </row>
    <row r="5" spans="1:18" ht="29.4" thickBot="1" x14ac:dyDescent="0.35">
      <c r="A5" s="3" t="s">
        <v>32</v>
      </c>
      <c r="B5" s="3" t="s">
        <v>33</v>
      </c>
      <c r="C5" s="3" t="s">
        <v>15</v>
      </c>
      <c r="D5" s="3" t="s">
        <v>34</v>
      </c>
      <c r="E5" s="3" t="s">
        <v>17</v>
      </c>
      <c r="F5" s="4">
        <v>46113</v>
      </c>
      <c r="G5" s="3" t="s">
        <v>57</v>
      </c>
      <c r="H5" s="3" t="s">
        <v>19</v>
      </c>
      <c r="I5" s="3">
        <v>10</v>
      </c>
      <c r="J5" s="3">
        <v>2</v>
      </c>
      <c r="K5" s="3">
        <v>15</v>
      </c>
      <c r="L5" s="3">
        <v>9</v>
      </c>
      <c r="M5" s="3">
        <v>12</v>
      </c>
      <c r="N5" s="12">
        <f>Table1[[#This Row],[Tasks Done]]/Table1[[#This Row],[Target]]</f>
        <v>1.25</v>
      </c>
      <c r="O5" s="3">
        <v>60000</v>
      </c>
      <c r="P5" s="12" t="str">
        <f>IF(Table1[[#This Row],[Achieve %]]&gt;0.9,"Yes","No")</f>
        <v>Yes</v>
      </c>
      <c r="Q5" s="3">
        <v>5</v>
      </c>
      <c r="R5" s="13" t="str">
        <f>IF(Table1[[#This Row],[Perf Score]]&gt;=8,"Top Performer", "Needs Training")</f>
        <v>Top Performer</v>
      </c>
    </row>
    <row r="6" spans="1:18" ht="29.4" thickBot="1" x14ac:dyDescent="0.35">
      <c r="A6" s="3" t="s">
        <v>35</v>
      </c>
      <c r="B6" s="3" t="s">
        <v>36</v>
      </c>
      <c r="C6" s="3" t="s">
        <v>22</v>
      </c>
      <c r="D6" s="3" t="s">
        <v>37</v>
      </c>
      <c r="E6" s="3" t="s">
        <v>24</v>
      </c>
      <c r="F6" s="4">
        <v>46113</v>
      </c>
      <c r="G6" s="3" t="s">
        <v>18</v>
      </c>
      <c r="H6" s="3" t="s">
        <v>38</v>
      </c>
      <c r="I6" s="3">
        <v>0</v>
      </c>
      <c r="J6" s="3">
        <v>0</v>
      </c>
      <c r="K6" s="3">
        <v>0</v>
      </c>
      <c r="L6" s="3">
        <v>1</v>
      </c>
      <c r="M6" s="3">
        <v>8</v>
      </c>
      <c r="N6" s="12">
        <f>Table1[[#This Row],[Tasks Done]]/Table1[[#This Row],[Target]]</f>
        <v>0</v>
      </c>
      <c r="O6" s="3">
        <v>40000</v>
      </c>
      <c r="P6" s="12" t="str">
        <f>IF(Table1[[#This Row],[Achieve %]]&gt;0.9,"Yes","No")</f>
        <v>No</v>
      </c>
      <c r="Q6" s="3">
        <v>1</v>
      </c>
      <c r="R6" s="13" t="str">
        <f>IF(Table1[[#This Row],[Perf Score]]&gt;=8,"Top Performer", "Needs Training")</f>
        <v>Needs Training</v>
      </c>
    </row>
    <row r="7" spans="1:18" ht="29.4" thickBot="1" x14ac:dyDescent="0.35">
      <c r="A7" s="3" t="s">
        <v>59</v>
      </c>
      <c r="B7" s="3" t="s">
        <v>14</v>
      </c>
      <c r="C7" s="3" t="s">
        <v>15</v>
      </c>
      <c r="D7" s="3" t="s">
        <v>16</v>
      </c>
      <c r="E7" s="3" t="s">
        <v>17</v>
      </c>
      <c r="F7" s="4">
        <v>46113</v>
      </c>
      <c r="G7" s="3" t="s">
        <v>54</v>
      </c>
      <c r="H7" s="3" t="s">
        <v>19</v>
      </c>
      <c r="I7" s="3">
        <v>0.6</v>
      </c>
      <c r="J7" s="3">
        <v>0.6</v>
      </c>
      <c r="K7" s="3">
        <v>2</v>
      </c>
      <c r="L7" s="3">
        <v>1.4</v>
      </c>
      <c r="M7" s="3">
        <v>8.6</v>
      </c>
      <c r="N7" s="12">
        <f>Table1[[#This Row],[Tasks Done]]/Table1[[#This Row],[Target]]</f>
        <v>0.23255813953488372</v>
      </c>
      <c r="O7" s="3">
        <v>46500</v>
      </c>
      <c r="P7" s="12" t="str">
        <f>IF(Table1[[#This Row],[Achieve %]]&gt;0.9,"Yes","No")</f>
        <v>No</v>
      </c>
      <c r="Q7" s="3">
        <v>1.6</v>
      </c>
      <c r="R7" s="13" t="str">
        <f>IF(Table1[[#This Row],[Perf Score]]&gt;=8,"Top Performer", "Needs Training")</f>
        <v>Needs Training</v>
      </c>
    </row>
    <row r="8" spans="1:18" ht="29.4" thickBot="1" x14ac:dyDescent="0.35">
      <c r="A8" s="3" t="s">
        <v>60</v>
      </c>
      <c r="B8" s="3" t="s">
        <v>21</v>
      </c>
      <c r="C8" s="3" t="s">
        <v>22</v>
      </c>
      <c r="D8" s="3" t="s">
        <v>23</v>
      </c>
      <c r="E8" s="3" t="s">
        <v>24</v>
      </c>
      <c r="F8" s="4">
        <v>46113</v>
      </c>
      <c r="G8" s="3" t="s">
        <v>55</v>
      </c>
      <c r="H8" s="3" t="s">
        <v>25</v>
      </c>
      <c r="I8" s="3">
        <v>-1</v>
      </c>
      <c r="J8" s="3">
        <v>0.6</v>
      </c>
      <c r="K8" s="3">
        <v>0.4</v>
      </c>
      <c r="L8" s="3">
        <v>0</v>
      </c>
      <c r="M8" s="3">
        <v>8.6</v>
      </c>
      <c r="N8" s="12">
        <f>Table1[[#This Row],[Tasks Done]]/Table1[[#This Row],[Target]]</f>
        <v>4.651162790697675E-2</v>
      </c>
      <c r="O8" s="3">
        <v>44000</v>
      </c>
      <c r="P8" s="12" t="str">
        <f>IF(Table1[[#This Row],[Achieve %]]&gt;0.9,"Yes","No")</f>
        <v>No</v>
      </c>
      <c r="Q8" s="3">
        <v>1</v>
      </c>
      <c r="R8" s="13" t="str">
        <f>IF(Table1[[#This Row],[Perf Score]]&gt;=8,"Top Performer", "Needs Training")</f>
        <v>Needs Training</v>
      </c>
    </row>
    <row r="9" spans="1:18" ht="29.4" thickBot="1" x14ac:dyDescent="0.35">
      <c r="A9" s="3" t="s">
        <v>61</v>
      </c>
      <c r="B9" s="3" t="s">
        <v>27</v>
      </c>
      <c r="C9" s="3" t="s">
        <v>28</v>
      </c>
      <c r="D9" s="3" t="s">
        <v>29</v>
      </c>
      <c r="E9" s="3" t="s">
        <v>30</v>
      </c>
      <c r="F9" s="4">
        <v>46113</v>
      </c>
      <c r="G9" s="3" t="s">
        <v>56</v>
      </c>
      <c r="H9" s="3" t="s">
        <v>31</v>
      </c>
      <c r="I9" s="3">
        <v>-2.6</v>
      </c>
      <c r="J9" s="3">
        <v>0.6</v>
      </c>
      <c r="K9" s="3">
        <v>-1.2</v>
      </c>
      <c r="L9" s="3">
        <v>-1.4</v>
      </c>
      <c r="M9" s="3">
        <v>8.6</v>
      </c>
      <c r="N9" s="12">
        <f>Table1[[#This Row],[Tasks Done]]/Table1[[#This Row],[Target]]</f>
        <v>-0.13953488372093023</v>
      </c>
      <c r="O9" s="3">
        <v>41500</v>
      </c>
      <c r="P9" s="12" t="str">
        <f>IF(Table1[[#This Row],[Achieve %]]&gt;0.9,"Yes","No")</f>
        <v>No</v>
      </c>
      <c r="Q9" s="3">
        <v>0.39999999999999902</v>
      </c>
      <c r="R9" s="13" t="str">
        <f>IF(Table1[[#This Row],[Perf Score]]&gt;=8,"Top Performer", "Needs Training")</f>
        <v>Needs Training</v>
      </c>
    </row>
    <row r="10" spans="1:18" ht="29.4" thickBot="1" x14ac:dyDescent="0.35">
      <c r="A10" s="3" t="s">
        <v>62</v>
      </c>
      <c r="B10" s="3" t="s">
        <v>33</v>
      </c>
      <c r="C10" s="3" t="s">
        <v>15</v>
      </c>
      <c r="D10" s="3" t="s">
        <v>34</v>
      </c>
      <c r="E10" s="3" t="s">
        <v>17</v>
      </c>
      <c r="F10" s="4">
        <v>46113</v>
      </c>
      <c r="G10" s="3" t="s">
        <v>57</v>
      </c>
      <c r="H10" s="3" t="s">
        <v>19</v>
      </c>
      <c r="I10" s="3">
        <v>-4.2</v>
      </c>
      <c r="J10" s="3">
        <v>0.6</v>
      </c>
      <c r="K10" s="3">
        <v>-2.8</v>
      </c>
      <c r="L10" s="3">
        <v>-2.8</v>
      </c>
      <c r="M10" s="3">
        <v>8.6</v>
      </c>
      <c r="N10" s="12">
        <f>Table1[[#This Row],[Tasks Done]]/Table1[[#This Row],[Target]]</f>
        <v>-0.32558139534883718</v>
      </c>
      <c r="O10" s="3">
        <v>39000</v>
      </c>
      <c r="P10" s="12" t="str">
        <f>IF(Table1[[#This Row],[Achieve %]]&gt;0.9,"Yes","No")</f>
        <v>No</v>
      </c>
      <c r="Q10" s="3">
        <v>-0.2</v>
      </c>
      <c r="R10" s="13" t="str">
        <f>IF(Table1[[#This Row],[Perf Score]]&gt;=8,"Top Performer", "Needs Training")</f>
        <v>Needs Training</v>
      </c>
    </row>
    <row r="11" spans="1:18" ht="29.4" thickBot="1" x14ac:dyDescent="0.35">
      <c r="A11" s="3" t="s">
        <v>63</v>
      </c>
      <c r="B11" s="3" t="s">
        <v>36</v>
      </c>
      <c r="C11" s="3" t="s">
        <v>22</v>
      </c>
      <c r="D11" s="3" t="s">
        <v>37</v>
      </c>
      <c r="E11" s="3" t="s">
        <v>24</v>
      </c>
      <c r="F11" s="4">
        <v>46113</v>
      </c>
      <c r="G11" s="3" t="s">
        <v>18</v>
      </c>
      <c r="H11" s="3" t="s">
        <v>38</v>
      </c>
      <c r="I11" s="3">
        <v>-5.8</v>
      </c>
      <c r="J11" s="3">
        <v>0.6</v>
      </c>
      <c r="K11" s="3">
        <v>-4.4000000000000004</v>
      </c>
      <c r="L11" s="3">
        <v>-4.2</v>
      </c>
      <c r="M11" s="3">
        <v>8.6</v>
      </c>
      <c r="N11" s="12">
        <f>Table1[[#This Row],[Tasks Done]]/Table1[[#This Row],[Target]]</f>
        <v>-0.51162790697674421</v>
      </c>
      <c r="O11" s="3">
        <v>36500</v>
      </c>
      <c r="P11" s="12" t="str">
        <f>IF(Table1[[#This Row],[Achieve %]]&gt;0.9,"Yes","No")</f>
        <v>No</v>
      </c>
      <c r="Q11" s="3">
        <v>-0.80000000000000104</v>
      </c>
      <c r="R11" s="13" t="str">
        <f>IF(Table1[[#This Row],[Perf Score]]&gt;=8,"Top Performer", "Needs Training")</f>
        <v>Needs Training</v>
      </c>
    </row>
    <row r="12" spans="1:18" ht="29.4" thickBot="1" x14ac:dyDescent="0.35">
      <c r="A12" s="3" t="s">
        <v>64</v>
      </c>
      <c r="B12" s="3" t="s">
        <v>14</v>
      </c>
      <c r="C12" s="3" t="s">
        <v>15</v>
      </c>
      <c r="D12" s="3" t="s">
        <v>16</v>
      </c>
      <c r="E12" s="3" t="s">
        <v>17</v>
      </c>
      <c r="F12" s="4">
        <v>46113</v>
      </c>
      <c r="G12" s="3" t="s">
        <v>54</v>
      </c>
      <c r="H12" s="3" t="s">
        <v>38</v>
      </c>
      <c r="I12" s="3">
        <v>-7.4</v>
      </c>
      <c r="J12" s="3">
        <v>0.6</v>
      </c>
      <c r="K12" s="3">
        <v>-6</v>
      </c>
      <c r="L12" s="3">
        <v>-5.6</v>
      </c>
      <c r="M12" s="3">
        <v>8.6</v>
      </c>
      <c r="N12" s="12">
        <f>Table1[[#This Row],[Tasks Done]]/Table1[[#This Row],[Target]]</f>
        <v>-0.69767441860465118</v>
      </c>
      <c r="O12" s="3">
        <v>34000</v>
      </c>
      <c r="P12" s="12" t="str">
        <f>IF(Table1[[#This Row],[Achieve %]]&gt;0.9,"Yes","No")</f>
        <v>No</v>
      </c>
      <c r="Q12" s="3">
        <v>-1.4</v>
      </c>
      <c r="R12" s="13" t="str">
        <f>IF(Table1[[#This Row],[Perf Score]]&gt;=8,"Top Performer", "Needs Training")</f>
        <v>Needs Training</v>
      </c>
    </row>
    <row r="13" spans="1:18" ht="29.4" thickBot="1" x14ac:dyDescent="0.35">
      <c r="A13" s="3" t="s">
        <v>65</v>
      </c>
      <c r="B13" s="3" t="s">
        <v>21</v>
      </c>
      <c r="C13" s="3" t="s">
        <v>22</v>
      </c>
      <c r="D13" s="3" t="s">
        <v>23</v>
      </c>
      <c r="E13" s="3" t="s">
        <v>24</v>
      </c>
      <c r="F13" s="4">
        <v>46113</v>
      </c>
      <c r="G13" s="3" t="s">
        <v>55</v>
      </c>
      <c r="H13" s="3" t="s">
        <v>25</v>
      </c>
      <c r="I13" s="3">
        <v>-9</v>
      </c>
      <c r="J13" s="3">
        <v>0.6</v>
      </c>
      <c r="K13" s="3">
        <v>-7.6</v>
      </c>
      <c r="L13" s="3">
        <v>-7</v>
      </c>
      <c r="M13" s="3">
        <v>8.6</v>
      </c>
      <c r="N13" s="12">
        <f>Table1[[#This Row],[Tasks Done]]/Table1[[#This Row],[Target]]</f>
        <v>-0.88372093023255816</v>
      </c>
      <c r="O13" s="3">
        <v>31500</v>
      </c>
      <c r="P13" s="12" t="str">
        <f>IF(Table1[[#This Row],[Achieve %]]&gt;0.9,"Yes","No")</f>
        <v>No</v>
      </c>
      <c r="Q13" s="3">
        <v>-2</v>
      </c>
      <c r="R13" s="13" t="str">
        <f>IF(Table1[[#This Row],[Perf Score]]&gt;=8,"Top Performer", "Needs Training")</f>
        <v>Needs Training</v>
      </c>
    </row>
    <row r="14" spans="1:18" ht="29.4" thickBot="1" x14ac:dyDescent="0.35">
      <c r="A14" s="3" t="s">
        <v>66</v>
      </c>
      <c r="B14" s="3" t="s">
        <v>27</v>
      </c>
      <c r="C14" s="3" t="s">
        <v>28</v>
      </c>
      <c r="D14" s="3" t="s">
        <v>29</v>
      </c>
      <c r="E14" s="3" t="s">
        <v>30</v>
      </c>
      <c r="F14" s="4">
        <v>46113</v>
      </c>
      <c r="G14" s="3" t="s">
        <v>56</v>
      </c>
      <c r="H14" s="3" t="s">
        <v>31</v>
      </c>
      <c r="I14" s="3">
        <v>-10.6</v>
      </c>
      <c r="J14" s="3">
        <v>0.6</v>
      </c>
      <c r="K14" s="3">
        <v>-9.1999999999999993</v>
      </c>
      <c r="L14" s="3">
        <v>-8.4</v>
      </c>
      <c r="M14" s="3">
        <v>8.6</v>
      </c>
      <c r="N14" s="12">
        <f>Table1[[#This Row],[Tasks Done]]/Table1[[#This Row],[Target]]</f>
        <v>-1.069767441860465</v>
      </c>
      <c r="O14" s="3">
        <v>29000</v>
      </c>
      <c r="P14" s="12" t="str">
        <f>IF(Table1[[#This Row],[Achieve %]]&gt;0.9,"Yes","No")</f>
        <v>No</v>
      </c>
      <c r="Q14" s="3">
        <v>-2.6</v>
      </c>
      <c r="R14" s="13" t="str">
        <f>IF(Table1[[#This Row],[Perf Score]]&gt;=8,"Top Performer", "Needs Training")</f>
        <v>Needs Training</v>
      </c>
    </row>
    <row r="15" spans="1:18" ht="29.4" thickBot="1" x14ac:dyDescent="0.35">
      <c r="A15" s="3" t="s">
        <v>67</v>
      </c>
      <c r="B15" s="3" t="s">
        <v>33</v>
      </c>
      <c r="C15" s="3" t="s">
        <v>15</v>
      </c>
      <c r="D15" s="3" t="s">
        <v>34</v>
      </c>
      <c r="E15" s="3" t="s">
        <v>17</v>
      </c>
      <c r="F15" s="4">
        <v>46113</v>
      </c>
      <c r="G15" s="3" t="s">
        <v>57</v>
      </c>
      <c r="H15" s="3" t="s">
        <v>19</v>
      </c>
      <c r="I15" s="3">
        <v>-12.2</v>
      </c>
      <c r="J15" s="3">
        <v>0.6</v>
      </c>
      <c r="K15" s="3">
        <v>-10.8</v>
      </c>
      <c r="L15" s="3">
        <v>-9.8000000000000007</v>
      </c>
      <c r="M15" s="3">
        <v>8.6</v>
      </c>
      <c r="N15" s="12">
        <f>Table1[[#This Row],[Tasks Done]]/Table1[[#This Row],[Target]]</f>
        <v>-1.2558139534883723</v>
      </c>
      <c r="O15" s="3">
        <v>26500</v>
      </c>
      <c r="P15" s="12" t="str">
        <f>IF(Table1[[#This Row],[Achieve %]]&gt;0.9,"Yes","No")</f>
        <v>No</v>
      </c>
      <c r="Q15" s="3">
        <v>-3.2</v>
      </c>
      <c r="R15" s="13" t="str">
        <f>IF(Table1[[#This Row],[Perf Score]]&gt;=8,"Top Performer", "Needs Training")</f>
        <v>Needs Training</v>
      </c>
    </row>
    <row r="16" spans="1:18" ht="29.4" thickBot="1" x14ac:dyDescent="0.35">
      <c r="A16" s="3" t="s">
        <v>68</v>
      </c>
      <c r="B16" s="3" t="s">
        <v>36</v>
      </c>
      <c r="C16" s="3" t="s">
        <v>22</v>
      </c>
      <c r="D16" s="3" t="s">
        <v>37</v>
      </c>
      <c r="E16" s="3" t="s">
        <v>24</v>
      </c>
      <c r="F16" s="4">
        <v>46113</v>
      </c>
      <c r="G16" s="3" t="s">
        <v>18</v>
      </c>
      <c r="H16" s="3" t="s">
        <v>38</v>
      </c>
      <c r="I16" s="3">
        <v>-13.8</v>
      </c>
      <c r="J16" s="3">
        <v>0.6</v>
      </c>
      <c r="K16" s="3">
        <v>-12.4</v>
      </c>
      <c r="L16" s="3">
        <v>-11.2</v>
      </c>
      <c r="M16" s="3">
        <v>8.6</v>
      </c>
      <c r="N16" s="12">
        <f>Table1[[#This Row],[Tasks Done]]/Table1[[#This Row],[Target]]</f>
        <v>-1.4418604651162792</v>
      </c>
      <c r="O16" s="3">
        <v>24000</v>
      </c>
      <c r="P16" s="12" t="str">
        <f>IF(Table1[[#This Row],[Achieve %]]&gt;0.9,"Yes","No")</f>
        <v>No</v>
      </c>
      <c r="Q16" s="3">
        <v>-3.8</v>
      </c>
      <c r="R16" s="13" t="str">
        <f>IF(Table1[[#This Row],[Perf Score]]&gt;=8,"Top Performer", "Needs Training")</f>
        <v>Needs Training</v>
      </c>
    </row>
    <row r="17" spans="1:18" ht="29.4" thickBot="1" x14ac:dyDescent="0.35">
      <c r="A17" s="3" t="s">
        <v>69</v>
      </c>
      <c r="B17" s="3" t="s">
        <v>14</v>
      </c>
      <c r="C17" s="3" t="s">
        <v>15</v>
      </c>
      <c r="D17" s="3" t="s">
        <v>16</v>
      </c>
      <c r="E17" s="3" t="s">
        <v>17</v>
      </c>
      <c r="F17" s="4">
        <v>46113</v>
      </c>
      <c r="G17" s="3" t="s">
        <v>54</v>
      </c>
      <c r="H17" s="3" t="s">
        <v>19</v>
      </c>
      <c r="I17" s="3">
        <v>-15.4</v>
      </c>
      <c r="J17" s="3">
        <v>0.6</v>
      </c>
      <c r="K17" s="3">
        <v>-14</v>
      </c>
      <c r="L17" s="3">
        <v>-12.6</v>
      </c>
      <c r="M17" s="3">
        <v>8.6</v>
      </c>
      <c r="N17" s="12">
        <f>Table1[[#This Row],[Tasks Done]]/Table1[[#This Row],[Target]]</f>
        <v>-1.6279069767441861</v>
      </c>
      <c r="O17" s="3">
        <v>21500</v>
      </c>
      <c r="P17" s="12" t="str">
        <f>IF(Table1[[#This Row],[Achieve %]]&gt;0.9,"Yes","No")</f>
        <v>No</v>
      </c>
      <c r="Q17" s="3">
        <v>-4.3999999999999897</v>
      </c>
      <c r="R17" s="13" t="str">
        <f>IF(Table1[[#This Row],[Perf Score]]&gt;=8,"Top Performer", "Needs Training")</f>
        <v>Needs Training</v>
      </c>
    </row>
    <row r="18" spans="1:18" ht="29.4" thickBot="1" x14ac:dyDescent="0.35">
      <c r="A18" s="3" t="s">
        <v>70</v>
      </c>
      <c r="B18" s="3" t="s">
        <v>21</v>
      </c>
      <c r="C18" s="3" t="s">
        <v>22</v>
      </c>
      <c r="D18" s="3" t="s">
        <v>23</v>
      </c>
      <c r="E18" s="3" t="s">
        <v>24</v>
      </c>
      <c r="F18" s="4">
        <v>46113</v>
      </c>
      <c r="G18" s="3" t="s">
        <v>55</v>
      </c>
      <c r="H18" s="3" t="s">
        <v>25</v>
      </c>
      <c r="I18" s="3">
        <v>-17</v>
      </c>
      <c r="J18" s="3">
        <v>0.6</v>
      </c>
      <c r="K18" s="3">
        <v>-15.6</v>
      </c>
      <c r="L18" s="3">
        <v>-14</v>
      </c>
      <c r="M18" s="3">
        <v>8.6</v>
      </c>
      <c r="N18" s="12">
        <f>Table1[[#This Row],[Tasks Done]]/Table1[[#This Row],[Target]]</f>
        <v>-1.8139534883720931</v>
      </c>
      <c r="O18" s="3">
        <v>19000</v>
      </c>
      <c r="P18" s="12" t="str">
        <f>IF(Table1[[#This Row],[Achieve %]]&gt;0.9,"Yes","No")</f>
        <v>No</v>
      </c>
      <c r="Q18" s="3">
        <v>-4.9999999999999902</v>
      </c>
      <c r="R18" s="13" t="str">
        <f>IF(Table1[[#This Row],[Perf Score]]&gt;=8,"Top Performer", "Needs Training")</f>
        <v>Needs Training</v>
      </c>
    </row>
    <row r="19" spans="1:18" ht="29.4" thickBot="1" x14ac:dyDescent="0.35">
      <c r="A19" s="3" t="s">
        <v>71</v>
      </c>
      <c r="B19" s="3" t="s">
        <v>27</v>
      </c>
      <c r="C19" s="3" t="s">
        <v>28</v>
      </c>
      <c r="D19" s="3" t="s">
        <v>29</v>
      </c>
      <c r="E19" s="3" t="s">
        <v>30</v>
      </c>
      <c r="F19" s="4">
        <v>46113</v>
      </c>
      <c r="G19" s="3" t="s">
        <v>56</v>
      </c>
      <c r="H19" s="3" t="s">
        <v>31</v>
      </c>
      <c r="I19" s="3">
        <v>-18.600000000000001</v>
      </c>
      <c r="J19" s="3">
        <v>0.6</v>
      </c>
      <c r="K19" s="3">
        <v>-17.2</v>
      </c>
      <c r="L19" s="3">
        <v>-15.4</v>
      </c>
      <c r="M19" s="3">
        <v>8.6</v>
      </c>
      <c r="N19" s="12">
        <f>Table1[[#This Row],[Tasks Done]]/Table1[[#This Row],[Target]]</f>
        <v>-2</v>
      </c>
      <c r="O19" s="3">
        <v>16500</v>
      </c>
      <c r="P19" s="12" t="str">
        <f>IF(Table1[[#This Row],[Achieve %]]&gt;0.9,"Yes","No")</f>
        <v>No</v>
      </c>
      <c r="Q19" s="3">
        <v>-5.6</v>
      </c>
      <c r="R19" s="13" t="str">
        <f>IF(Table1[[#This Row],[Perf Score]]&gt;=8,"Top Performer", "Needs Training")</f>
        <v>Needs Training</v>
      </c>
    </row>
    <row r="20" spans="1:18" ht="29.4" thickBot="1" x14ac:dyDescent="0.35">
      <c r="A20" s="3" t="s">
        <v>72</v>
      </c>
      <c r="B20" s="3" t="s">
        <v>33</v>
      </c>
      <c r="C20" s="3" t="s">
        <v>15</v>
      </c>
      <c r="D20" s="3" t="s">
        <v>34</v>
      </c>
      <c r="E20" s="3" t="s">
        <v>17</v>
      </c>
      <c r="F20" s="4">
        <v>46113</v>
      </c>
      <c r="G20" s="3" t="s">
        <v>57</v>
      </c>
      <c r="H20" s="3" t="s">
        <v>19</v>
      </c>
      <c r="I20" s="3">
        <v>-20.2</v>
      </c>
      <c r="J20" s="3">
        <v>0.59999999999999898</v>
      </c>
      <c r="K20" s="3">
        <v>-18.8</v>
      </c>
      <c r="L20" s="3">
        <v>-16.8</v>
      </c>
      <c r="M20" s="3">
        <v>8.6</v>
      </c>
      <c r="N20" s="12">
        <f>Table1[[#This Row],[Tasks Done]]/Table1[[#This Row],[Target]]</f>
        <v>-2.1860465116279073</v>
      </c>
      <c r="O20" s="3">
        <v>14000</v>
      </c>
      <c r="P20" s="12" t="str">
        <f>IF(Table1[[#This Row],[Achieve %]]&gt;0.9,"Yes","No")</f>
        <v>No</v>
      </c>
      <c r="Q20" s="3">
        <v>-6.2</v>
      </c>
      <c r="R20" s="13" t="str">
        <f>IF(Table1[[#This Row],[Perf Score]]&gt;=8,"Top Performer", "Needs Training")</f>
        <v>Needs Training</v>
      </c>
    </row>
    <row r="21" spans="1:18" ht="29.4" thickBot="1" x14ac:dyDescent="0.35">
      <c r="A21" s="3" t="s">
        <v>73</v>
      </c>
      <c r="B21" s="3" t="s">
        <v>36</v>
      </c>
      <c r="C21" s="3" t="s">
        <v>22</v>
      </c>
      <c r="D21" s="3" t="s">
        <v>37</v>
      </c>
      <c r="E21" s="3" t="s">
        <v>24</v>
      </c>
      <c r="F21" s="4">
        <v>46113</v>
      </c>
      <c r="G21" s="3" t="s">
        <v>18</v>
      </c>
      <c r="H21" s="3" t="s">
        <v>38</v>
      </c>
      <c r="I21" s="3">
        <v>-21.8</v>
      </c>
      <c r="J21" s="3">
        <v>0.59999999999999898</v>
      </c>
      <c r="K21" s="3">
        <v>-20.399999999999999</v>
      </c>
      <c r="L21" s="3">
        <v>-18.2</v>
      </c>
      <c r="M21" s="3">
        <v>8.6</v>
      </c>
      <c r="N21" s="12">
        <f>Table1[[#This Row],[Tasks Done]]/Table1[[#This Row],[Target]]</f>
        <v>-2.3720930232558137</v>
      </c>
      <c r="O21" s="3">
        <v>11500</v>
      </c>
      <c r="P21" s="12" t="str">
        <f>IF(Table1[[#This Row],[Achieve %]]&gt;0.9,"Yes","No")</f>
        <v>No</v>
      </c>
      <c r="Q21" s="3">
        <v>-6.8</v>
      </c>
      <c r="R21" s="13" t="str">
        <f>IF(Table1[[#This Row],[Perf Score]]&gt;=8,"Top Performer", "Needs Training")</f>
        <v>Needs Training</v>
      </c>
    </row>
    <row r="22" spans="1:18" ht="29.4" thickBot="1" x14ac:dyDescent="0.35">
      <c r="A22" s="3" t="s">
        <v>74</v>
      </c>
      <c r="B22" s="3" t="s">
        <v>14</v>
      </c>
      <c r="C22" s="3" t="s">
        <v>15</v>
      </c>
      <c r="D22" s="3" t="s">
        <v>16</v>
      </c>
      <c r="E22" s="3" t="s">
        <v>17</v>
      </c>
      <c r="F22" s="4">
        <v>46113</v>
      </c>
      <c r="G22" s="3" t="s">
        <v>54</v>
      </c>
      <c r="H22" s="3" t="s">
        <v>19</v>
      </c>
      <c r="I22" s="3">
        <v>-23.4</v>
      </c>
      <c r="J22" s="3">
        <v>0.59999999999999898</v>
      </c>
      <c r="K22" s="3">
        <v>-22</v>
      </c>
      <c r="L22" s="3">
        <v>-19.600000000000001</v>
      </c>
      <c r="M22" s="3">
        <v>8.6</v>
      </c>
      <c r="N22" s="12">
        <f>Table1[[#This Row],[Tasks Done]]/Table1[[#This Row],[Target]]</f>
        <v>-2.558139534883721</v>
      </c>
      <c r="O22" s="3">
        <v>8999.9999999999909</v>
      </c>
      <c r="P22" s="12" t="str">
        <f>IF(Table1[[#This Row],[Achieve %]]&gt;0.9,"Yes","No")</f>
        <v>No</v>
      </c>
      <c r="Q22" s="3">
        <v>-7.4</v>
      </c>
      <c r="R22" s="13" t="str">
        <f>IF(Table1[[#This Row],[Perf Score]]&gt;=8,"Top Performer", "Needs Training")</f>
        <v>Needs Training</v>
      </c>
    </row>
    <row r="23" spans="1:18" ht="29.4" thickBot="1" x14ac:dyDescent="0.35">
      <c r="A23" s="3" t="s">
        <v>75</v>
      </c>
      <c r="B23" s="3" t="s">
        <v>21</v>
      </c>
      <c r="C23" s="3" t="s">
        <v>22</v>
      </c>
      <c r="D23" s="3" t="s">
        <v>23</v>
      </c>
      <c r="E23" s="3" t="s">
        <v>24</v>
      </c>
      <c r="F23" s="4">
        <v>46113</v>
      </c>
      <c r="G23" s="3" t="s">
        <v>55</v>
      </c>
      <c r="H23" s="3" t="s">
        <v>25</v>
      </c>
      <c r="I23" s="3">
        <v>-25</v>
      </c>
      <c r="J23" s="3">
        <v>0.59999999999999898</v>
      </c>
      <c r="K23" s="3">
        <v>-23.6</v>
      </c>
      <c r="L23" s="3">
        <v>-21</v>
      </c>
      <c r="M23" s="3">
        <v>8.6</v>
      </c>
      <c r="N23" s="12">
        <f>Table1[[#This Row],[Tasks Done]]/Table1[[#This Row],[Target]]</f>
        <v>-2.7441860465116283</v>
      </c>
      <c r="O23" s="3">
        <v>6499.99999999999</v>
      </c>
      <c r="P23" s="12" t="str">
        <f>IF(Table1[[#This Row],[Achieve %]]&gt;0.9,"Yes","No")</f>
        <v>No</v>
      </c>
      <c r="Q23" s="3">
        <v>-8</v>
      </c>
      <c r="R23" s="13" t="str">
        <f>IF(Table1[[#This Row],[Perf Score]]&gt;=8,"Top Performer", "Needs Training")</f>
        <v>Needs Training</v>
      </c>
    </row>
    <row r="24" spans="1:18" ht="29.4" thickBot="1" x14ac:dyDescent="0.35">
      <c r="A24" s="3" t="s">
        <v>76</v>
      </c>
      <c r="B24" s="3" t="s">
        <v>27</v>
      </c>
      <c r="C24" s="3" t="s">
        <v>28</v>
      </c>
      <c r="D24" s="3" t="s">
        <v>29</v>
      </c>
      <c r="E24" s="3" t="s">
        <v>30</v>
      </c>
      <c r="F24" s="4">
        <v>46113</v>
      </c>
      <c r="G24" s="3" t="s">
        <v>56</v>
      </c>
      <c r="H24" s="3" t="s">
        <v>31</v>
      </c>
      <c r="I24" s="3">
        <v>-26.6</v>
      </c>
      <c r="J24" s="3">
        <v>0.59999999999999898</v>
      </c>
      <c r="K24" s="3">
        <v>-25.2</v>
      </c>
      <c r="L24" s="3">
        <v>-22.4</v>
      </c>
      <c r="M24" s="3">
        <v>8.6</v>
      </c>
      <c r="N24" s="12">
        <f>Table1[[#This Row],[Tasks Done]]/Table1[[#This Row],[Target]]</f>
        <v>-2.9302325581395348</v>
      </c>
      <c r="O24" s="3">
        <v>3999.99999999999</v>
      </c>
      <c r="P24" s="12" t="str">
        <f>IF(Table1[[#This Row],[Achieve %]]&gt;0.9,"Yes","No")</f>
        <v>No</v>
      </c>
      <c r="Q24" s="3">
        <v>-8.6</v>
      </c>
      <c r="R24" s="13" t="str">
        <f>IF(Table1[[#This Row],[Perf Score]]&gt;=8,"Top Performer", "Needs Training")</f>
        <v>Needs Training</v>
      </c>
    </row>
    <row r="25" spans="1:18" ht="29.4" thickBot="1" x14ac:dyDescent="0.35">
      <c r="A25" s="3" t="s">
        <v>77</v>
      </c>
      <c r="B25" s="3" t="s">
        <v>33</v>
      </c>
      <c r="C25" s="3" t="s">
        <v>15</v>
      </c>
      <c r="D25" s="3" t="s">
        <v>34</v>
      </c>
      <c r="E25" s="3" t="s">
        <v>17</v>
      </c>
      <c r="F25" s="4">
        <v>46113</v>
      </c>
      <c r="G25" s="3" t="s">
        <v>57</v>
      </c>
      <c r="H25" s="3" t="s">
        <v>19</v>
      </c>
      <c r="I25" s="3">
        <v>-28.2</v>
      </c>
      <c r="J25" s="3">
        <v>0.59999999999999898</v>
      </c>
      <c r="K25" s="3">
        <v>-26.8</v>
      </c>
      <c r="L25" s="3">
        <v>-23.8</v>
      </c>
      <c r="M25" s="3">
        <v>8.6</v>
      </c>
      <c r="N25" s="12">
        <f>Table1[[#This Row],[Tasks Done]]/Table1[[#This Row],[Target]]</f>
        <v>-3.1162790697674421</v>
      </c>
      <c r="O25" s="3">
        <v>1499.99999999999</v>
      </c>
      <c r="P25" s="12" t="str">
        <f>IF(Table1[[#This Row],[Achieve %]]&gt;0.9,"Yes","No")</f>
        <v>No</v>
      </c>
      <c r="Q25" s="3">
        <v>-9.1999999999999993</v>
      </c>
      <c r="R25" s="13" t="str">
        <f>IF(Table1[[#This Row],[Perf Score]]&gt;=8,"Top Performer", "Needs Training")</f>
        <v>Needs Training</v>
      </c>
    </row>
    <row r="26" spans="1:18" ht="29.4" thickBot="1" x14ac:dyDescent="0.35">
      <c r="A26" s="3" t="s">
        <v>78</v>
      </c>
      <c r="B26" s="3" t="s">
        <v>36</v>
      </c>
      <c r="C26" s="3" t="s">
        <v>22</v>
      </c>
      <c r="D26" s="3" t="s">
        <v>37</v>
      </c>
      <c r="E26" s="3" t="s">
        <v>24</v>
      </c>
      <c r="F26" s="4">
        <v>46113</v>
      </c>
      <c r="G26" s="3" t="s">
        <v>18</v>
      </c>
      <c r="H26" s="3" t="s">
        <v>38</v>
      </c>
      <c r="I26" s="3">
        <v>-29.8</v>
      </c>
      <c r="J26" s="3">
        <v>0.59999999999999898</v>
      </c>
      <c r="K26" s="3">
        <v>-28.4</v>
      </c>
      <c r="L26" s="3">
        <v>-25.2</v>
      </c>
      <c r="M26" s="3">
        <v>8.6</v>
      </c>
      <c r="N26" s="12">
        <f>Table1[[#This Row],[Tasks Done]]/Table1[[#This Row],[Target]]</f>
        <v>-3.3023255813953489</v>
      </c>
      <c r="O26" s="3">
        <v>-1000.00000000001</v>
      </c>
      <c r="P26" s="12" t="str">
        <f>IF(Table1[[#This Row],[Achieve %]]&gt;0.9,"Yes","No")</f>
        <v>No</v>
      </c>
      <c r="Q26" s="3">
        <v>-9.8000000000000007</v>
      </c>
      <c r="R26" s="13" t="str">
        <f>IF(Table1[[#This Row],[Perf Score]]&gt;=8,"Top Performer", "Needs Training")</f>
        <v>Needs Training</v>
      </c>
    </row>
    <row r="27" spans="1:18" ht="29.4" thickBot="1" x14ac:dyDescent="0.35">
      <c r="A27" s="3" t="s">
        <v>79</v>
      </c>
      <c r="B27" s="3" t="s">
        <v>14</v>
      </c>
      <c r="C27" s="3" t="s">
        <v>15</v>
      </c>
      <c r="D27" s="3" t="s">
        <v>16</v>
      </c>
      <c r="E27" s="3" t="s">
        <v>17</v>
      </c>
      <c r="F27" s="4">
        <v>46113</v>
      </c>
      <c r="G27" s="3" t="s">
        <v>54</v>
      </c>
      <c r="H27" s="3" t="s">
        <v>19</v>
      </c>
      <c r="I27" s="3">
        <v>-31.4</v>
      </c>
      <c r="J27" s="3">
        <v>0.59999999999999898</v>
      </c>
      <c r="K27" s="3">
        <v>-30</v>
      </c>
      <c r="L27" s="3">
        <v>-26.6</v>
      </c>
      <c r="M27" s="3">
        <v>8.6</v>
      </c>
      <c r="N27" s="12">
        <f>Table1[[#This Row],[Tasks Done]]/Table1[[#This Row],[Target]]</f>
        <v>-3.4883720930232558</v>
      </c>
      <c r="O27" s="3">
        <v>-3500.00000000001</v>
      </c>
      <c r="P27" s="12" t="str">
        <f>IF(Table1[[#This Row],[Achieve %]]&gt;0.9,"Yes","No")</f>
        <v>No</v>
      </c>
      <c r="Q27" s="3">
        <v>-10.4</v>
      </c>
      <c r="R27" s="13" t="str">
        <f>IF(Table1[[#This Row],[Perf Score]]&gt;=8,"Top Performer", "Needs Training")</f>
        <v>Needs Training</v>
      </c>
    </row>
    <row r="28" spans="1:18" ht="29.4" thickBot="1" x14ac:dyDescent="0.35">
      <c r="A28" s="3" t="s">
        <v>80</v>
      </c>
      <c r="B28" s="3" t="s">
        <v>21</v>
      </c>
      <c r="C28" s="3" t="s">
        <v>22</v>
      </c>
      <c r="D28" s="3" t="s">
        <v>23</v>
      </c>
      <c r="E28" s="3" t="s">
        <v>24</v>
      </c>
      <c r="F28" s="4">
        <v>46113</v>
      </c>
      <c r="G28" s="3" t="s">
        <v>55</v>
      </c>
      <c r="H28" s="3" t="s">
        <v>25</v>
      </c>
      <c r="I28" s="3">
        <v>-33</v>
      </c>
      <c r="J28" s="3">
        <v>0.59999999999999898</v>
      </c>
      <c r="K28" s="3">
        <v>-31.6</v>
      </c>
      <c r="L28" s="3">
        <v>-28</v>
      </c>
      <c r="M28" s="3">
        <v>8.6</v>
      </c>
      <c r="N28" s="12">
        <f>Table1[[#This Row],[Tasks Done]]/Table1[[#This Row],[Target]]</f>
        <v>-3.6744186046511631</v>
      </c>
      <c r="O28" s="3">
        <v>-6000.00000000001</v>
      </c>
      <c r="P28" s="12" t="str">
        <f>IF(Table1[[#This Row],[Achieve %]]&gt;0.9,"Yes","No")</f>
        <v>No</v>
      </c>
      <c r="Q28" s="3">
        <v>-11</v>
      </c>
      <c r="R28" s="13" t="str">
        <f>IF(Table1[[#This Row],[Perf Score]]&gt;=8,"Top Performer", "Needs Training")</f>
        <v>Needs Training</v>
      </c>
    </row>
    <row r="29" spans="1:18" ht="29.4" thickBot="1" x14ac:dyDescent="0.35">
      <c r="A29" s="3" t="s">
        <v>81</v>
      </c>
      <c r="B29" s="3" t="s">
        <v>27</v>
      </c>
      <c r="C29" s="3" t="s">
        <v>28</v>
      </c>
      <c r="D29" s="3" t="s">
        <v>29</v>
      </c>
      <c r="E29" s="3" t="s">
        <v>30</v>
      </c>
      <c r="F29" s="4">
        <v>46113</v>
      </c>
      <c r="G29" s="3" t="s">
        <v>56</v>
      </c>
      <c r="H29" s="3" t="s">
        <v>31</v>
      </c>
      <c r="I29" s="3">
        <v>-34.6</v>
      </c>
      <c r="J29" s="3">
        <v>0.59999999999999898</v>
      </c>
      <c r="K29" s="3">
        <v>-33.200000000000003</v>
      </c>
      <c r="L29" s="3">
        <v>-29.4</v>
      </c>
      <c r="M29" s="3">
        <v>8.6</v>
      </c>
      <c r="N29" s="12">
        <f>Table1[[#This Row],[Tasks Done]]/Table1[[#This Row],[Target]]</f>
        <v>-3.8604651162790704</v>
      </c>
      <c r="O29" s="3">
        <v>-8500.0000000000091</v>
      </c>
      <c r="P29" s="12" t="str">
        <f>IF(Table1[[#This Row],[Achieve %]]&gt;0.9,"Yes","No")</f>
        <v>No</v>
      </c>
      <c r="Q29" s="3">
        <v>-11.6</v>
      </c>
      <c r="R29" s="13" t="str">
        <f>IF(Table1[[#This Row],[Perf Score]]&gt;=8,"Top Performer", "Needs Training")</f>
        <v>Needs Training</v>
      </c>
    </row>
    <row r="30" spans="1:18" ht="29.4" thickBot="1" x14ac:dyDescent="0.35">
      <c r="A30" s="3" t="s">
        <v>82</v>
      </c>
      <c r="B30" s="3" t="s">
        <v>33</v>
      </c>
      <c r="C30" s="3" t="s">
        <v>15</v>
      </c>
      <c r="D30" s="3" t="s">
        <v>34</v>
      </c>
      <c r="E30" s="3" t="s">
        <v>17</v>
      </c>
      <c r="F30" s="4">
        <v>46113</v>
      </c>
      <c r="G30" s="3" t="s">
        <v>57</v>
      </c>
      <c r="H30" s="3" t="s">
        <v>19</v>
      </c>
      <c r="I30" s="3">
        <v>-36.200000000000003</v>
      </c>
      <c r="J30" s="3">
        <v>0.59999999999999898</v>
      </c>
      <c r="K30" s="3">
        <v>-34.799999999999997</v>
      </c>
      <c r="L30" s="3">
        <v>-30.8</v>
      </c>
      <c r="M30" s="3">
        <v>8.6</v>
      </c>
      <c r="N30" s="12">
        <f>Table1[[#This Row],[Tasks Done]]/Table1[[#This Row],[Target]]</f>
        <v>-4.0465116279069768</v>
      </c>
      <c r="O30" s="3">
        <v>-10999.9999999999</v>
      </c>
      <c r="P30" s="12" t="str">
        <f>IF(Table1[[#This Row],[Achieve %]]&gt;0.9,"Yes","No")</f>
        <v>No</v>
      </c>
      <c r="Q30" s="3">
        <v>-12.2</v>
      </c>
      <c r="R30" s="13" t="str">
        <f>IF(Table1[[#This Row],[Perf Score]]&gt;=8,"Top Performer", "Needs Training")</f>
        <v>Needs Training</v>
      </c>
    </row>
    <row r="31" spans="1:18" ht="29.4" thickBot="1" x14ac:dyDescent="0.35">
      <c r="A31" s="3" t="s">
        <v>83</v>
      </c>
      <c r="B31" s="3" t="s">
        <v>36</v>
      </c>
      <c r="C31" s="3" t="s">
        <v>22</v>
      </c>
      <c r="D31" s="3" t="s">
        <v>37</v>
      </c>
      <c r="E31" s="3" t="s">
        <v>24</v>
      </c>
      <c r="F31" s="4">
        <v>46113</v>
      </c>
      <c r="G31" s="3" t="s">
        <v>18</v>
      </c>
      <c r="H31" s="3" t="s">
        <v>38</v>
      </c>
      <c r="I31" s="3">
        <v>-37.799999999999997</v>
      </c>
      <c r="J31" s="3">
        <v>0.59999999999999898</v>
      </c>
      <c r="K31" s="3">
        <v>-36.4</v>
      </c>
      <c r="L31" s="3">
        <v>-32.200000000000003</v>
      </c>
      <c r="M31" s="3">
        <v>8.6</v>
      </c>
      <c r="N31" s="12">
        <f>Table1[[#This Row],[Tasks Done]]/Table1[[#This Row],[Target]]</f>
        <v>-4.2325581395348841</v>
      </c>
      <c r="O31" s="3">
        <v>-13499.9999999999</v>
      </c>
      <c r="P31" s="12" t="str">
        <f>IF(Table1[[#This Row],[Achieve %]]&gt;0.9,"Yes","No")</f>
        <v>No</v>
      </c>
      <c r="Q31" s="3">
        <v>-12.8</v>
      </c>
      <c r="R31" s="13" t="str">
        <f>IF(Table1[[#This Row],[Perf Score]]&gt;=8,"Top Performer", "Needs Training")</f>
        <v>Needs Training</v>
      </c>
    </row>
    <row r="32" spans="1:18" ht="29.4" thickBot="1" x14ac:dyDescent="0.35">
      <c r="A32" s="3" t="s">
        <v>84</v>
      </c>
      <c r="B32" s="3" t="s">
        <v>14</v>
      </c>
      <c r="C32" s="3" t="s">
        <v>15</v>
      </c>
      <c r="D32" s="3" t="s">
        <v>16</v>
      </c>
      <c r="E32" s="3" t="s">
        <v>17</v>
      </c>
      <c r="F32" s="4">
        <v>46113</v>
      </c>
      <c r="G32" s="3" t="s">
        <v>54</v>
      </c>
      <c r="H32" s="3" t="s">
        <v>19</v>
      </c>
      <c r="I32" s="3">
        <v>-39.4</v>
      </c>
      <c r="J32" s="3">
        <v>0.59999999999999898</v>
      </c>
      <c r="K32" s="3">
        <v>-38</v>
      </c>
      <c r="L32" s="3">
        <v>-33.6</v>
      </c>
      <c r="M32" s="3">
        <v>8.6</v>
      </c>
      <c r="N32" s="12">
        <f>Table1[[#This Row],[Tasks Done]]/Table1[[#This Row],[Target]]</f>
        <v>-4.4186046511627906</v>
      </c>
      <c r="O32" s="3">
        <v>-15999.9999999999</v>
      </c>
      <c r="P32" s="12" t="str">
        <f>IF(Table1[[#This Row],[Achieve %]]&gt;0.9,"Yes","No")</f>
        <v>No</v>
      </c>
      <c r="Q32" s="3">
        <v>-13.4</v>
      </c>
      <c r="R32" s="13" t="str">
        <f>IF(Table1[[#This Row],[Perf Score]]&gt;=8,"Top Performer", "Needs Training")</f>
        <v>Needs Training</v>
      </c>
    </row>
    <row r="33" spans="1:18" ht="29.4" thickBot="1" x14ac:dyDescent="0.35">
      <c r="A33" s="3" t="s">
        <v>85</v>
      </c>
      <c r="B33" s="3" t="s">
        <v>21</v>
      </c>
      <c r="C33" s="3" t="s">
        <v>22</v>
      </c>
      <c r="D33" s="3" t="s">
        <v>23</v>
      </c>
      <c r="E33" s="3" t="s">
        <v>24</v>
      </c>
      <c r="F33" s="4">
        <v>46113</v>
      </c>
      <c r="G33" s="3" t="s">
        <v>55</v>
      </c>
      <c r="H33" s="3" t="s">
        <v>25</v>
      </c>
      <c r="I33" s="3">
        <v>-41</v>
      </c>
      <c r="J33" s="3">
        <v>0.59999999999999898</v>
      </c>
      <c r="K33" s="3">
        <v>-39.6</v>
      </c>
      <c r="L33" s="3">
        <v>-35</v>
      </c>
      <c r="M33" s="3">
        <v>8.6</v>
      </c>
      <c r="N33" s="12">
        <f>Table1[[#This Row],[Tasks Done]]/Table1[[#This Row],[Target]]</f>
        <v>-4.6046511627906979</v>
      </c>
      <c r="O33" s="3">
        <v>-18499.999999999902</v>
      </c>
      <c r="P33" s="12" t="str">
        <f>IF(Table1[[#This Row],[Achieve %]]&gt;0.9,"Yes","No")</f>
        <v>No</v>
      </c>
      <c r="Q33" s="3">
        <v>-14</v>
      </c>
      <c r="R33" s="13" t="str">
        <f>IF(Table1[[#This Row],[Perf Score]]&gt;=8,"Top Performer", "Needs Training")</f>
        <v>Needs Training</v>
      </c>
    </row>
    <row r="34" spans="1:18" ht="29.4" thickBot="1" x14ac:dyDescent="0.35">
      <c r="A34" s="3" t="s">
        <v>86</v>
      </c>
      <c r="B34" s="3" t="s">
        <v>27</v>
      </c>
      <c r="C34" s="3" t="s">
        <v>28</v>
      </c>
      <c r="D34" s="3" t="s">
        <v>29</v>
      </c>
      <c r="E34" s="3" t="s">
        <v>30</v>
      </c>
      <c r="F34" s="4">
        <v>46113</v>
      </c>
      <c r="G34" s="3" t="s">
        <v>56</v>
      </c>
      <c r="H34" s="3" t="s">
        <v>31</v>
      </c>
      <c r="I34" s="3">
        <v>-42.6</v>
      </c>
      <c r="J34" s="3">
        <v>0.59999999999999898</v>
      </c>
      <c r="K34" s="3">
        <v>-41.2</v>
      </c>
      <c r="L34" s="3">
        <v>-36.4</v>
      </c>
      <c r="M34" s="3">
        <v>8.6</v>
      </c>
      <c r="N34" s="12">
        <f>Table1[[#This Row],[Tasks Done]]/Table1[[#This Row],[Target]]</f>
        <v>-4.7906976744186052</v>
      </c>
      <c r="O34" s="3">
        <v>-20999.999999999902</v>
      </c>
      <c r="P34" s="12" t="str">
        <f>IF(Table1[[#This Row],[Achieve %]]&gt;0.9,"Yes","No")</f>
        <v>No</v>
      </c>
      <c r="Q34" s="3">
        <v>-14.6</v>
      </c>
      <c r="R34" s="13" t="str">
        <f>IF(Table1[[#This Row],[Perf Score]]&gt;=8,"Top Performer", "Needs Training")</f>
        <v>Needs Training</v>
      </c>
    </row>
    <row r="35" spans="1:18" ht="29.4" thickBot="1" x14ac:dyDescent="0.35">
      <c r="A35" s="3" t="s">
        <v>87</v>
      </c>
      <c r="B35" s="3" t="s">
        <v>33</v>
      </c>
      <c r="C35" s="3" t="s">
        <v>15</v>
      </c>
      <c r="D35" s="3" t="s">
        <v>34</v>
      </c>
      <c r="E35" s="3" t="s">
        <v>17</v>
      </c>
      <c r="F35" s="4">
        <v>46113</v>
      </c>
      <c r="G35" s="3" t="s">
        <v>57</v>
      </c>
      <c r="H35" s="3" t="s">
        <v>19</v>
      </c>
      <c r="I35" s="3">
        <v>-44.2</v>
      </c>
      <c r="J35" s="3">
        <v>0.59999999999999898</v>
      </c>
      <c r="K35" s="3">
        <v>-42.8</v>
      </c>
      <c r="L35" s="3">
        <v>-37.799999999999997</v>
      </c>
      <c r="M35" s="3">
        <v>8.6</v>
      </c>
      <c r="N35" s="12">
        <f>Table1[[#This Row],[Tasks Done]]/Table1[[#This Row],[Target]]</f>
        <v>-4.9767441860465116</v>
      </c>
      <c r="O35" s="3">
        <v>-23499.999999999902</v>
      </c>
      <c r="P35" s="12" t="str">
        <f>IF(Table1[[#This Row],[Achieve %]]&gt;0.9,"Yes","No")</f>
        <v>No</v>
      </c>
      <c r="Q35" s="3">
        <v>-15.2</v>
      </c>
      <c r="R35" s="13" t="str">
        <f>IF(Table1[[#This Row],[Perf Score]]&gt;=8,"Top Performer", "Needs Training")</f>
        <v>Needs Training</v>
      </c>
    </row>
    <row r="36" spans="1:18" ht="29.4" thickBot="1" x14ac:dyDescent="0.35">
      <c r="A36" s="3" t="s">
        <v>88</v>
      </c>
      <c r="B36" s="3" t="s">
        <v>36</v>
      </c>
      <c r="C36" s="3" t="s">
        <v>22</v>
      </c>
      <c r="D36" s="3" t="s">
        <v>37</v>
      </c>
      <c r="E36" s="3" t="s">
        <v>24</v>
      </c>
      <c r="F36" s="4">
        <v>46113</v>
      </c>
      <c r="G36" s="3" t="s">
        <v>18</v>
      </c>
      <c r="H36" s="3" t="s">
        <v>38</v>
      </c>
      <c r="I36" s="3">
        <v>-45.8</v>
      </c>
      <c r="J36" s="3">
        <v>0.59999999999999898</v>
      </c>
      <c r="K36" s="3">
        <v>-44.4</v>
      </c>
      <c r="L36" s="3">
        <v>-39.200000000000003</v>
      </c>
      <c r="M36" s="3">
        <v>8.6</v>
      </c>
      <c r="N36" s="12">
        <f>Table1[[#This Row],[Tasks Done]]/Table1[[#This Row],[Target]]</f>
        <v>-5.1627906976744189</v>
      </c>
      <c r="O36" s="3">
        <v>-25999.999999999902</v>
      </c>
      <c r="P36" s="12" t="str">
        <f>IF(Table1[[#This Row],[Achieve %]]&gt;0.9,"Yes","No")</f>
        <v>No</v>
      </c>
      <c r="Q36" s="3">
        <v>-15.8</v>
      </c>
      <c r="R36" s="13" t="str">
        <f>IF(Table1[[#This Row],[Perf Score]]&gt;=8,"Top Performer", "Needs Training")</f>
        <v>Needs Training</v>
      </c>
    </row>
    <row r="37" spans="1:18" ht="29.4" thickBot="1" x14ac:dyDescent="0.35">
      <c r="A37" s="3" t="s">
        <v>89</v>
      </c>
      <c r="B37" s="3" t="s">
        <v>14</v>
      </c>
      <c r="C37" s="3" t="s">
        <v>15</v>
      </c>
      <c r="D37" s="3" t="s">
        <v>16</v>
      </c>
      <c r="E37" s="3" t="s">
        <v>17</v>
      </c>
      <c r="F37" s="4">
        <v>46113</v>
      </c>
      <c r="G37" s="3" t="s">
        <v>54</v>
      </c>
      <c r="H37" s="3" t="s">
        <v>19</v>
      </c>
      <c r="I37" s="3">
        <v>-47.4</v>
      </c>
      <c r="J37" s="3">
        <v>0.59999999999999898</v>
      </c>
      <c r="K37" s="3">
        <v>-46</v>
      </c>
      <c r="L37" s="3">
        <v>-40.6</v>
      </c>
      <c r="M37" s="3">
        <v>8.6</v>
      </c>
      <c r="N37" s="12">
        <f>Table1[[#This Row],[Tasks Done]]/Table1[[#This Row],[Target]]</f>
        <v>-5.3488372093023262</v>
      </c>
      <c r="O37" s="3">
        <v>-28499.999999999902</v>
      </c>
      <c r="P37" s="12" t="str">
        <f>IF(Table1[[#This Row],[Achieve %]]&gt;0.9,"Yes","No")</f>
        <v>No</v>
      </c>
      <c r="Q37" s="3">
        <v>-16.399999999999999</v>
      </c>
      <c r="R37" s="13" t="str">
        <f>IF(Table1[[#This Row],[Perf Score]]&gt;=8,"Top Performer", "Needs Training")</f>
        <v>Needs Training</v>
      </c>
    </row>
    <row r="38" spans="1:18" ht="29.4" thickBot="1" x14ac:dyDescent="0.35">
      <c r="A38" s="3" t="s">
        <v>90</v>
      </c>
      <c r="B38" s="3" t="s">
        <v>21</v>
      </c>
      <c r="C38" s="3" t="s">
        <v>22</v>
      </c>
      <c r="D38" s="3" t="s">
        <v>23</v>
      </c>
      <c r="E38" s="3" t="s">
        <v>24</v>
      </c>
      <c r="F38" s="4">
        <v>46113</v>
      </c>
      <c r="G38" s="3" t="s">
        <v>55</v>
      </c>
      <c r="H38" s="3" t="s">
        <v>25</v>
      </c>
      <c r="I38" s="3">
        <v>-49</v>
      </c>
      <c r="J38" s="3">
        <v>0.59999999999999898</v>
      </c>
      <c r="K38" s="3">
        <v>-47.6</v>
      </c>
      <c r="L38" s="3">
        <v>-42</v>
      </c>
      <c r="M38" s="3">
        <v>8.6</v>
      </c>
      <c r="N38" s="12">
        <f>Table1[[#This Row],[Tasks Done]]/Table1[[#This Row],[Target]]</f>
        <v>-5.5348837209302326</v>
      </c>
      <c r="O38" s="3">
        <v>-30999.999999999902</v>
      </c>
      <c r="P38" s="12" t="str">
        <f>IF(Table1[[#This Row],[Achieve %]]&gt;0.9,"Yes","No")</f>
        <v>No</v>
      </c>
      <c r="Q38" s="3">
        <v>-17</v>
      </c>
      <c r="R38" s="13" t="str">
        <f>IF(Table1[[#This Row],[Perf Score]]&gt;=8,"Top Performer", "Needs Training")</f>
        <v>Needs Training</v>
      </c>
    </row>
    <row r="39" spans="1:18" ht="29.4" thickBot="1" x14ac:dyDescent="0.35">
      <c r="A39" s="3" t="s">
        <v>91</v>
      </c>
      <c r="B39" s="3" t="s">
        <v>27</v>
      </c>
      <c r="C39" s="3" t="s">
        <v>28</v>
      </c>
      <c r="D39" s="3" t="s">
        <v>29</v>
      </c>
      <c r="E39" s="3" t="s">
        <v>30</v>
      </c>
      <c r="F39" s="4">
        <v>46113</v>
      </c>
      <c r="G39" s="3" t="s">
        <v>56</v>
      </c>
      <c r="H39" s="3" t="s">
        <v>31</v>
      </c>
      <c r="I39" s="3">
        <v>-50.6</v>
      </c>
      <c r="J39" s="3">
        <v>0.59999999999999898</v>
      </c>
      <c r="K39" s="3">
        <v>-49.2</v>
      </c>
      <c r="L39" s="3">
        <v>-43.4</v>
      </c>
      <c r="M39" s="3">
        <v>8.6</v>
      </c>
      <c r="N39" s="12">
        <f>Table1[[#This Row],[Tasks Done]]/Table1[[#This Row],[Target]]</f>
        <v>-5.7209302325581399</v>
      </c>
      <c r="O39" s="3">
        <v>-33499.999999999898</v>
      </c>
      <c r="P39" s="12" t="str">
        <f>IF(Table1[[#This Row],[Achieve %]]&gt;0.9,"Yes","No")</f>
        <v>No</v>
      </c>
      <c r="Q39" s="3">
        <v>-17.600000000000001</v>
      </c>
      <c r="R39" s="13" t="str">
        <f>IF(Table1[[#This Row],[Perf Score]]&gt;=8,"Top Performer", "Needs Training")</f>
        <v>Needs Training</v>
      </c>
    </row>
    <row r="40" spans="1:18" ht="29.4" thickBot="1" x14ac:dyDescent="0.35">
      <c r="A40" s="3" t="s">
        <v>92</v>
      </c>
      <c r="B40" s="3" t="s">
        <v>33</v>
      </c>
      <c r="C40" s="3" t="s">
        <v>15</v>
      </c>
      <c r="D40" s="3" t="s">
        <v>34</v>
      </c>
      <c r="E40" s="3" t="s">
        <v>17</v>
      </c>
      <c r="F40" s="4">
        <v>46113</v>
      </c>
      <c r="G40" s="3" t="s">
        <v>57</v>
      </c>
      <c r="H40" s="3" t="s">
        <v>19</v>
      </c>
      <c r="I40" s="3">
        <v>-52.2</v>
      </c>
      <c r="J40" s="3">
        <v>0.59999999999999898</v>
      </c>
      <c r="K40" s="3">
        <v>-50.8</v>
      </c>
      <c r="L40" s="3">
        <v>-44.8</v>
      </c>
      <c r="M40" s="3">
        <v>8.6</v>
      </c>
      <c r="N40" s="12">
        <f>Table1[[#This Row],[Tasks Done]]/Table1[[#This Row],[Target]]</f>
        <v>-5.9069767441860463</v>
      </c>
      <c r="O40" s="3">
        <v>-35999.999999999898</v>
      </c>
      <c r="P40" s="12" t="str">
        <f>IF(Table1[[#This Row],[Achieve %]]&gt;0.9,"Yes","No")</f>
        <v>No</v>
      </c>
      <c r="Q40" s="3">
        <v>-18.2</v>
      </c>
      <c r="R40" s="13" t="str">
        <f>IF(Table1[[#This Row],[Perf Score]]&gt;=8,"Top Performer", "Needs Training")</f>
        <v>Needs Training</v>
      </c>
    </row>
    <row r="41" spans="1:18" ht="29.4" thickBot="1" x14ac:dyDescent="0.35">
      <c r="A41" s="3" t="s">
        <v>93</v>
      </c>
      <c r="B41" s="3" t="s">
        <v>36</v>
      </c>
      <c r="C41" s="3" t="s">
        <v>22</v>
      </c>
      <c r="D41" s="3" t="s">
        <v>37</v>
      </c>
      <c r="E41" s="3" t="s">
        <v>24</v>
      </c>
      <c r="F41" s="4">
        <v>46113</v>
      </c>
      <c r="G41" s="3" t="s">
        <v>18</v>
      </c>
      <c r="H41" s="3" t="s">
        <v>38</v>
      </c>
      <c r="I41" s="3">
        <v>-53.8</v>
      </c>
      <c r="J41" s="3">
        <v>0.59999999999999898</v>
      </c>
      <c r="K41" s="3">
        <v>-52.4</v>
      </c>
      <c r="L41" s="3">
        <v>-46.2</v>
      </c>
      <c r="M41" s="3">
        <v>8.6</v>
      </c>
      <c r="N41" s="12">
        <f>Table1[[#This Row],[Tasks Done]]/Table1[[#This Row],[Target]]</f>
        <v>-6.0930232558139537</v>
      </c>
      <c r="O41" s="3">
        <v>-38499.999999999898</v>
      </c>
      <c r="P41" s="12" t="str">
        <f>IF(Table1[[#This Row],[Achieve %]]&gt;0.9,"Yes","No")</f>
        <v>No</v>
      </c>
      <c r="Q41" s="3">
        <v>-18.8</v>
      </c>
      <c r="R41" s="13" t="str">
        <f>IF(Table1[[#This Row],[Perf Score]]&gt;=8,"Top Performer", "Needs Training")</f>
        <v>Needs Training</v>
      </c>
    </row>
    <row r="42" spans="1:18" ht="29.4" thickBot="1" x14ac:dyDescent="0.35">
      <c r="A42" s="3" t="s">
        <v>94</v>
      </c>
      <c r="B42" s="3" t="s">
        <v>14</v>
      </c>
      <c r="C42" s="3" t="s">
        <v>15</v>
      </c>
      <c r="D42" s="3" t="s">
        <v>16</v>
      </c>
      <c r="E42" s="3" t="s">
        <v>17</v>
      </c>
      <c r="F42" s="4">
        <v>46113</v>
      </c>
      <c r="G42" s="3" t="s">
        <v>54</v>
      </c>
      <c r="H42" s="3" t="s">
        <v>19</v>
      </c>
      <c r="I42" s="3">
        <v>-55.4</v>
      </c>
      <c r="J42" s="3">
        <v>0.59999999999999898</v>
      </c>
      <c r="K42" s="3">
        <v>-54</v>
      </c>
      <c r="L42" s="3">
        <v>-47.6</v>
      </c>
      <c r="M42" s="3">
        <v>8.6</v>
      </c>
      <c r="N42" s="12">
        <f>Table1[[#This Row],[Tasks Done]]/Table1[[#This Row],[Target]]</f>
        <v>-6.279069767441861</v>
      </c>
      <c r="O42" s="3">
        <v>-40999.999999999898</v>
      </c>
      <c r="P42" s="12" t="str">
        <f>IF(Table1[[#This Row],[Achieve %]]&gt;0.9,"Yes","No")</f>
        <v>No</v>
      </c>
      <c r="Q42" s="3">
        <v>-19.399999999999999</v>
      </c>
      <c r="R42" s="13" t="str">
        <f>IF(Table1[[#This Row],[Perf Score]]&gt;=8,"Top Performer", "Needs Training")</f>
        <v>Needs Training</v>
      </c>
    </row>
    <row r="43" spans="1:18" ht="29.4" thickBot="1" x14ac:dyDescent="0.35">
      <c r="A43" s="3" t="s">
        <v>95</v>
      </c>
      <c r="B43" s="3" t="s">
        <v>21</v>
      </c>
      <c r="C43" s="3" t="s">
        <v>22</v>
      </c>
      <c r="D43" s="3" t="s">
        <v>23</v>
      </c>
      <c r="E43" s="3" t="s">
        <v>24</v>
      </c>
      <c r="F43" s="4">
        <v>46113</v>
      </c>
      <c r="G43" s="3" t="s">
        <v>55</v>
      </c>
      <c r="H43" s="3" t="s">
        <v>25</v>
      </c>
      <c r="I43" s="3">
        <v>-57</v>
      </c>
      <c r="J43" s="3">
        <v>0.59999999999999898</v>
      </c>
      <c r="K43" s="3">
        <v>-55.6</v>
      </c>
      <c r="L43" s="3">
        <v>-49</v>
      </c>
      <c r="M43" s="3">
        <v>8.6</v>
      </c>
      <c r="N43" s="12">
        <f>Table1[[#This Row],[Tasks Done]]/Table1[[#This Row],[Target]]</f>
        <v>-6.4651162790697683</v>
      </c>
      <c r="O43" s="3">
        <v>-43500</v>
      </c>
      <c r="P43" s="12" t="str">
        <f>IF(Table1[[#This Row],[Achieve %]]&gt;0.9,"Yes","No")</f>
        <v>No</v>
      </c>
      <c r="Q43" s="3">
        <v>-20</v>
      </c>
      <c r="R43" s="13" t="str">
        <f>IF(Table1[[#This Row],[Perf Score]]&gt;=8,"Top Performer", "Needs Training")</f>
        <v>Needs Training</v>
      </c>
    </row>
    <row r="44" spans="1:18" ht="29.4" thickBot="1" x14ac:dyDescent="0.35">
      <c r="A44" s="3" t="s">
        <v>96</v>
      </c>
      <c r="B44" s="3" t="s">
        <v>27</v>
      </c>
      <c r="C44" s="3" t="s">
        <v>28</v>
      </c>
      <c r="D44" s="3" t="s">
        <v>29</v>
      </c>
      <c r="E44" s="3" t="s">
        <v>30</v>
      </c>
      <c r="F44" s="4">
        <v>46113</v>
      </c>
      <c r="G44" s="3" t="s">
        <v>56</v>
      </c>
      <c r="H44" s="3" t="s">
        <v>31</v>
      </c>
      <c r="I44" s="3">
        <v>-58.6</v>
      </c>
      <c r="J44" s="3">
        <v>0.59999999999999898</v>
      </c>
      <c r="K44" s="3">
        <v>-57.2</v>
      </c>
      <c r="L44" s="3">
        <v>-50.4</v>
      </c>
      <c r="M44" s="3">
        <v>8.6</v>
      </c>
      <c r="N44" s="12">
        <f>Table1[[#This Row],[Tasks Done]]/Table1[[#This Row],[Target]]</f>
        <v>-6.6511627906976747</v>
      </c>
      <c r="O44" s="3">
        <v>-46000</v>
      </c>
      <c r="P44" s="12" t="str">
        <f>IF(Table1[[#This Row],[Achieve %]]&gt;0.9,"Yes","No")</f>
        <v>No</v>
      </c>
      <c r="Q44" s="3">
        <v>-20.6</v>
      </c>
      <c r="R44" s="13" t="str">
        <f>IF(Table1[[#This Row],[Perf Score]]&gt;=8,"Top Performer", "Needs Training")</f>
        <v>Needs Training</v>
      </c>
    </row>
    <row r="45" spans="1:18" ht="29.4" thickBot="1" x14ac:dyDescent="0.35">
      <c r="A45" s="3" t="s">
        <v>97</v>
      </c>
      <c r="B45" s="3" t="s">
        <v>33</v>
      </c>
      <c r="C45" s="3" t="s">
        <v>15</v>
      </c>
      <c r="D45" s="3" t="s">
        <v>34</v>
      </c>
      <c r="E45" s="3" t="s">
        <v>17</v>
      </c>
      <c r="F45" s="4">
        <v>46113</v>
      </c>
      <c r="G45" s="3" t="s">
        <v>57</v>
      </c>
      <c r="H45" s="3" t="s">
        <v>19</v>
      </c>
      <c r="I45" s="3">
        <v>-60.2</v>
      </c>
      <c r="J45" s="3">
        <v>0.59999999999999898</v>
      </c>
      <c r="K45" s="3">
        <v>-58.8</v>
      </c>
      <c r="L45" s="3">
        <v>-51.8</v>
      </c>
      <c r="M45" s="3">
        <v>8.6</v>
      </c>
      <c r="N45" s="12">
        <f>Table1[[#This Row],[Tasks Done]]/Table1[[#This Row],[Target]]</f>
        <v>-6.8372093023255811</v>
      </c>
      <c r="O45" s="3">
        <v>-48500</v>
      </c>
      <c r="P45" s="12" t="str">
        <f>IF(Table1[[#This Row],[Achieve %]]&gt;0.9,"Yes","No")</f>
        <v>No</v>
      </c>
      <c r="Q45" s="3">
        <v>-21.2</v>
      </c>
      <c r="R45" s="13" t="str">
        <f>IF(Table1[[#This Row],[Perf Score]]&gt;=8,"Top Performer", "Needs Training")</f>
        <v>Needs Training</v>
      </c>
    </row>
    <row r="46" spans="1:18" ht="29.4" thickBot="1" x14ac:dyDescent="0.35">
      <c r="A46" s="3" t="s">
        <v>98</v>
      </c>
      <c r="B46" s="3" t="s">
        <v>36</v>
      </c>
      <c r="C46" s="3" t="s">
        <v>22</v>
      </c>
      <c r="D46" s="3" t="s">
        <v>37</v>
      </c>
      <c r="E46" s="3" t="s">
        <v>24</v>
      </c>
      <c r="F46" s="4">
        <v>46113</v>
      </c>
      <c r="G46" s="3" t="s">
        <v>18</v>
      </c>
      <c r="H46" s="3" t="s">
        <v>38</v>
      </c>
      <c r="I46" s="3">
        <v>-61.8</v>
      </c>
      <c r="J46" s="3">
        <v>0.59999999999999898</v>
      </c>
      <c r="K46" s="3">
        <v>-60.4</v>
      </c>
      <c r="L46" s="3">
        <v>-53.2</v>
      </c>
      <c r="M46" s="3">
        <v>8.6</v>
      </c>
      <c r="N46" s="12">
        <f>Table1[[#This Row],[Tasks Done]]/Table1[[#This Row],[Target]]</f>
        <v>-7.0232558139534884</v>
      </c>
      <c r="O46" s="3">
        <v>-51000</v>
      </c>
      <c r="P46" s="12" t="str">
        <f>IF(Table1[[#This Row],[Achieve %]]&gt;0.9,"Yes","No")</f>
        <v>No</v>
      </c>
      <c r="Q46" s="3">
        <v>-21.8</v>
      </c>
      <c r="R46" s="13" t="str">
        <f>IF(Table1[[#This Row],[Perf Score]]&gt;=8,"Top Performer", "Needs Training")</f>
        <v>Needs Training</v>
      </c>
    </row>
    <row r="47" spans="1:18" ht="29.4" thickBot="1" x14ac:dyDescent="0.35">
      <c r="A47" s="3" t="s">
        <v>99</v>
      </c>
      <c r="B47" s="3" t="s">
        <v>14</v>
      </c>
      <c r="C47" s="3" t="s">
        <v>15</v>
      </c>
      <c r="D47" s="3" t="s">
        <v>16</v>
      </c>
      <c r="E47" s="3" t="s">
        <v>17</v>
      </c>
      <c r="F47" s="4">
        <v>46113</v>
      </c>
      <c r="G47" s="3" t="s">
        <v>54</v>
      </c>
      <c r="H47" s="3" t="s">
        <v>19</v>
      </c>
      <c r="I47" s="3">
        <v>-63.4</v>
      </c>
      <c r="J47" s="3">
        <v>0.59999999999999898</v>
      </c>
      <c r="K47" s="3">
        <v>-62</v>
      </c>
      <c r="L47" s="3">
        <v>-54.6</v>
      </c>
      <c r="M47" s="3">
        <v>8.6</v>
      </c>
      <c r="N47" s="12">
        <f>Table1[[#This Row],[Tasks Done]]/Table1[[#This Row],[Target]]</f>
        <v>-7.2093023255813957</v>
      </c>
      <c r="O47" s="3">
        <v>-53500</v>
      </c>
      <c r="P47" s="12" t="str">
        <f>IF(Table1[[#This Row],[Achieve %]]&gt;0.9,"Yes","No")</f>
        <v>No</v>
      </c>
      <c r="Q47" s="3">
        <v>-22.4</v>
      </c>
      <c r="R47" s="13" t="str">
        <f>IF(Table1[[#This Row],[Perf Score]]&gt;=8,"Top Performer", "Needs Training")</f>
        <v>Needs Training</v>
      </c>
    </row>
    <row r="48" spans="1:18" ht="29.4" thickBot="1" x14ac:dyDescent="0.35">
      <c r="A48" s="3" t="s">
        <v>100</v>
      </c>
      <c r="B48" s="3" t="s">
        <v>21</v>
      </c>
      <c r="C48" s="3" t="s">
        <v>22</v>
      </c>
      <c r="D48" s="3" t="s">
        <v>23</v>
      </c>
      <c r="E48" s="3" t="s">
        <v>24</v>
      </c>
      <c r="F48" s="4">
        <v>46113</v>
      </c>
      <c r="G48" s="3" t="s">
        <v>55</v>
      </c>
      <c r="H48" s="3" t="s">
        <v>25</v>
      </c>
      <c r="I48" s="3">
        <v>-65</v>
      </c>
      <c r="J48" s="3">
        <v>0.59999999999999798</v>
      </c>
      <c r="K48" s="3">
        <v>-63.6</v>
      </c>
      <c r="L48" s="3">
        <v>-56</v>
      </c>
      <c r="M48" s="3">
        <v>8.6</v>
      </c>
      <c r="N48" s="12">
        <f>Table1[[#This Row],[Tasks Done]]/Table1[[#This Row],[Target]]</f>
        <v>-7.395348837209303</v>
      </c>
      <c r="O48" s="3">
        <v>-56000</v>
      </c>
      <c r="P48" s="12" t="str">
        <f>IF(Table1[[#This Row],[Achieve %]]&gt;0.9,"Yes","No")</f>
        <v>No</v>
      </c>
      <c r="Q48" s="3">
        <v>-23</v>
      </c>
      <c r="R48" s="13" t="str">
        <f>IF(Table1[[#This Row],[Perf Score]]&gt;=8,"Top Performer", "Needs Training")</f>
        <v>Needs Training</v>
      </c>
    </row>
    <row r="49" spans="1:18" ht="29.4" thickBot="1" x14ac:dyDescent="0.35">
      <c r="A49" s="3" t="s">
        <v>101</v>
      </c>
      <c r="B49" s="3" t="s">
        <v>27</v>
      </c>
      <c r="C49" s="3" t="s">
        <v>28</v>
      </c>
      <c r="D49" s="3" t="s">
        <v>29</v>
      </c>
      <c r="E49" s="3" t="s">
        <v>30</v>
      </c>
      <c r="F49" s="4">
        <v>46113</v>
      </c>
      <c r="G49" s="3" t="s">
        <v>56</v>
      </c>
      <c r="H49" s="3" t="s">
        <v>31</v>
      </c>
      <c r="I49" s="3">
        <v>-66.599999999999994</v>
      </c>
      <c r="J49" s="3">
        <v>0.59999999999999798</v>
      </c>
      <c r="K49" s="3">
        <v>-65.2</v>
      </c>
      <c r="L49" s="3">
        <v>-57.4</v>
      </c>
      <c r="M49" s="3">
        <v>8.6</v>
      </c>
      <c r="N49" s="12">
        <f>Table1[[#This Row],[Tasks Done]]/Table1[[#This Row],[Target]]</f>
        <v>-7.5813953488372103</v>
      </c>
      <c r="O49" s="3">
        <v>-58500</v>
      </c>
      <c r="P49" s="12" t="str">
        <f>IF(Table1[[#This Row],[Achieve %]]&gt;0.9,"Yes","No")</f>
        <v>No</v>
      </c>
      <c r="Q49" s="3">
        <v>-23.6</v>
      </c>
      <c r="R49" s="13" t="str">
        <f>IF(Table1[[#This Row],[Perf Score]]&gt;=8,"Top Performer", "Needs Training")</f>
        <v>Needs Training</v>
      </c>
    </row>
    <row r="50" spans="1:18" ht="29.4" thickBot="1" x14ac:dyDescent="0.35">
      <c r="A50" s="3" t="s">
        <v>102</v>
      </c>
      <c r="B50" s="3" t="s">
        <v>33</v>
      </c>
      <c r="C50" s="3" t="s">
        <v>15</v>
      </c>
      <c r="D50" s="3" t="s">
        <v>34</v>
      </c>
      <c r="E50" s="3" t="s">
        <v>17</v>
      </c>
      <c r="F50" s="4">
        <v>46113</v>
      </c>
      <c r="G50" s="3" t="s">
        <v>57</v>
      </c>
      <c r="H50" s="3" t="s">
        <v>19</v>
      </c>
      <c r="I50" s="3">
        <v>-68.2</v>
      </c>
      <c r="J50" s="3">
        <v>0.59999999999999798</v>
      </c>
      <c r="K50" s="3">
        <v>-66.8</v>
      </c>
      <c r="L50" s="3">
        <v>-58.8</v>
      </c>
      <c r="M50" s="3">
        <v>8.6</v>
      </c>
      <c r="N50" s="12">
        <f>Table1[[#This Row],[Tasks Done]]/Table1[[#This Row],[Target]]</f>
        <v>-7.7674418604651159</v>
      </c>
      <c r="O50" s="3">
        <v>-61000</v>
      </c>
      <c r="P50" s="12" t="str">
        <f>IF(Table1[[#This Row],[Achieve %]]&gt;0.9,"Yes","No")</f>
        <v>No</v>
      </c>
      <c r="Q50" s="3">
        <v>-24.2</v>
      </c>
      <c r="R50" s="13" t="str">
        <f>IF(Table1[[#This Row],[Perf Score]]&gt;=8,"Top Performer", "Needs Training")</f>
        <v>Needs Training</v>
      </c>
    </row>
    <row r="51" spans="1:18" ht="29.4" thickBot="1" x14ac:dyDescent="0.35">
      <c r="A51" s="3" t="s">
        <v>103</v>
      </c>
      <c r="B51" s="3" t="s">
        <v>36</v>
      </c>
      <c r="C51" s="3" t="s">
        <v>22</v>
      </c>
      <c r="D51" s="3" t="s">
        <v>37</v>
      </c>
      <c r="E51" s="3" t="s">
        <v>24</v>
      </c>
      <c r="F51" s="4">
        <v>46113</v>
      </c>
      <c r="G51" s="3" t="s">
        <v>18</v>
      </c>
      <c r="H51" s="3" t="s">
        <v>38</v>
      </c>
      <c r="I51" s="3">
        <v>-69.8</v>
      </c>
      <c r="J51" s="3">
        <v>0.59999999999999798</v>
      </c>
      <c r="K51" s="3">
        <v>-68.400000000000006</v>
      </c>
      <c r="L51" s="3">
        <v>-60.2</v>
      </c>
      <c r="M51" s="3">
        <v>8.6</v>
      </c>
      <c r="N51" s="12">
        <f>Table1[[#This Row],[Tasks Done]]/Table1[[#This Row],[Target]]</f>
        <v>-7.9534883720930241</v>
      </c>
      <c r="O51" s="3">
        <v>-63500</v>
      </c>
      <c r="P51" s="12" t="str">
        <f>IF(Table1[[#This Row],[Achieve %]]&gt;0.9,"Yes","No")</f>
        <v>No</v>
      </c>
      <c r="Q51" s="3">
        <v>-24.8</v>
      </c>
      <c r="R51" s="13" t="str">
        <f>IF(Table1[[#This Row],[Perf Score]]&gt;=8,"Top Performer", "Needs Training")</f>
        <v>Needs Training</v>
      </c>
    </row>
    <row r="52" spans="1:18" ht="29.4" thickBot="1" x14ac:dyDescent="0.35">
      <c r="A52" s="3" t="s">
        <v>104</v>
      </c>
      <c r="B52" s="3" t="s">
        <v>14</v>
      </c>
      <c r="C52" s="3" t="s">
        <v>15</v>
      </c>
      <c r="D52" s="3" t="s">
        <v>16</v>
      </c>
      <c r="E52" s="3" t="s">
        <v>17</v>
      </c>
      <c r="F52" s="4">
        <v>46113</v>
      </c>
      <c r="G52" s="3" t="s">
        <v>54</v>
      </c>
      <c r="H52" s="3" t="s">
        <v>19</v>
      </c>
      <c r="I52" s="3">
        <v>-71.400000000000006</v>
      </c>
      <c r="J52" s="3">
        <v>0.59999999999999798</v>
      </c>
      <c r="K52" s="3">
        <v>-70</v>
      </c>
      <c r="L52" s="3">
        <v>-61.6</v>
      </c>
      <c r="M52" s="3">
        <v>8.6</v>
      </c>
      <c r="N52" s="12">
        <f>Table1[[#This Row],[Tasks Done]]/Table1[[#This Row],[Target]]</f>
        <v>-8.1395348837209305</v>
      </c>
      <c r="O52" s="3">
        <v>-66000</v>
      </c>
      <c r="P52" s="12" t="str">
        <f>IF(Table1[[#This Row],[Achieve %]]&gt;0.9,"Yes","No")</f>
        <v>No</v>
      </c>
      <c r="Q52" s="3">
        <v>-25.4</v>
      </c>
      <c r="R52" s="13" t="str">
        <f>IF(Table1[[#This Row],[Perf Score]]&gt;=8,"Top Performer", "Needs Training")</f>
        <v>Needs Training</v>
      </c>
    </row>
    <row r="53" spans="1:18" ht="29.4" thickBot="1" x14ac:dyDescent="0.35">
      <c r="A53" s="3" t="s">
        <v>105</v>
      </c>
      <c r="B53" s="3" t="s">
        <v>21</v>
      </c>
      <c r="C53" s="3" t="s">
        <v>22</v>
      </c>
      <c r="D53" s="3" t="s">
        <v>23</v>
      </c>
      <c r="E53" s="3" t="s">
        <v>24</v>
      </c>
      <c r="F53" s="4">
        <v>46113</v>
      </c>
      <c r="G53" s="3" t="s">
        <v>55</v>
      </c>
      <c r="H53" s="3" t="s">
        <v>25</v>
      </c>
      <c r="I53" s="3">
        <v>-73</v>
      </c>
      <c r="J53" s="3">
        <v>0.59999999999999798</v>
      </c>
      <c r="K53" s="3">
        <v>-71.599999999999994</v>
      </c>
      <c r="L53" s="3">
        <v>-63</v>
      </c>
      <c r="M53" s="3">
        <v>8.6</v>
      </c>
      <c r="N53" s="12">
        <f>Table1[[#This Row],[Tasks Done]]/Table1[[#This Row],[Target]]</f>
        <v>-8.325581395348836</v>
      </c>
      <c r="O53" s="3">
        <v>-68500</v>
      </c>
      <c r="P53" s="12" t="str">
        <f>IF(Table1[[#This Row],[Achieve %]]&gt;0.9,"Yes","No")</f>
        <v>No</v>
      </c>
      <c r="Q53" s="3">
        <v>-26</v>
      </c>
      <c r="R53" s="13" t="str">
        <f>IF(Table1[[#This Row],[Perf Score]]&gt;=8,"Top Performer", "Needs Training")</f>
        <v>Needs Training</v>
      </c>
    </row>
    <row r="54" spans="1:18" ht="29.4" thickBot="1" x14ac:dyDescent="0.35">
      <c r="A54" s="3" t="s">
        <v>106</v>
      </c>
      <c r="B54" s="3" t="s">
        <v>27</v>
      </c>
      <c r="C54" s="3" t="s">
        <v>28</v>
      </c>
      <c r="D54" s="3" t="s">
        <v>29</v>
      </c>
      <c r="E54" s="3" t="s">
        <v>30</v>
      </c>
      <c r="F54" s="4">
        <v>46113</v>
      </c>
      <c r="G54" s="3" t="s">
        <v>56</v>
      </c>
      <c r="H54" s="3" t="s">
        <v>31</v>
      </c>
      <c r="I54" s="3">
        <v>-74.599999999999994</v>
      </c>
      <c r="J54" s="3">
        <v>0.59999999999999798</v>
      </c>
      <c r="K54" s="3">
        <v>-73.2</v>
      </c>
      <c r="L54" s="3">
        <v>-64.400000000000006</v>
      </c>
      <c r="M54" s="3">
        <v>8.6</v>
      </c>
      <c r="N54" s="12">
        <f>Table1[[#This Row],[Tasks Done]]/Table1[[#This Row],[Target]]</f>
        <v>-8.5116279069767451</v>
      </c>
      <c r="O54" s="3">
        <v>-71000</v>
      </c>
      <c r="P54" s="12" t="str">
        <f>IF(Table1[[#This Row],[Achieve %]]&gt;0.9,"Yes","No")</f>
        <v>No</v>
      </c>
      <c r="Q54" s="3">
        <v>-26.6</v>
      </c>
      <c r="R54" s="13" t="str">
        <f>IF(Table1[[#This Row],[Perf Score]]&gt;=8,"Top Performer", "Needs Training")</f>
        <v>Needs Training</v>
      </c>
    </row>
    <row r="55" spans="1:18" ht="29.4" thickBot="1" x14ac:dyDescent="0.35">
      <c r="A55" s="3" t="s">
        <v>107</v>
      </c>
      <c r="B55" s="3" t="s">
        <v>33</v>
      </c>
      <c r="C55" s="3" t="s">
        <v>15</v>
      </c>
      <c r="D55" s="3" t="s">
        <v>34</v>
      </c>
      <c r="E55" s="3" t="s">
        <v>17</v>
      </c>
      <c r="F55" s="4">
        <v>46113</v>
      </c>
      <c r="G55" s="3" t="s">
        <v>57</v>
      </c>
      <c r="H55" s="3" t="s">
        <v>19</v>
      </c>
      <c r="I55" s="3">
        <v>-76.2</v>
      </c>
      <c r="J55" s="3">
        <v>0.59999999999999798</v>
      </c>
      <c r="K55" s="3">
        <v>-74.8</v>
      </c>
      <c r="L55" s="3">
        <v>-65.8</v>
      </c>
      <c r="M55" s="3">
        <v>8.6</v>
      </c>
      <c r="N55" s="12">
        <f>Table1[[#This Row],[Tasks Done]]/Table1[[#This Row],[Target]]</f>
        <v>-8.6976744186046506</v>
      </c>
      <c r="O55" s="3">
        <v>-73500</v>
      </c>
      <c r="P55" s="12" t="str">
        <f>IF(Table1[[#This Row],[Achieve %]]&gt;0.9,"Yes","No")</f>
        <v>No</v>
      </c>
      <c r="Q55" s="3">
        <v>-27.2</v>
      </c>
      <c r="R55" s="13" t="str">
        <f>IF(Table1[[#This Row],[Perf Score]]&gt;=8,"Top Performer", "Needs Training")</f>
        <v>Needs Training</v>
      </c>
    </row>
    <row r="56" spans="1:18" ht="29.4" thickBot="1" x14ac:dyDescent="0.35">
      <c r="A56" s="3" t="s">
        <v>108</v>
      </c>
      <c r="B56" s="3" t="s">
        <v>36</v>
      </c>
      <c r="C56" s="3" t="s">
        <v>22</v>
      </c>
      <c r="D56" s="3" t="s">
        <v>37</v>
      </c>
      <c r="E56" s="3" t="s">
        <v>24</v>
      </c>
      <c r="F56" s="4">
        <v>46113</v>
      </c>
      <c r="G56" s="3" t="s">
        <v>18</v>
      </c>
      <c r="H56" s="3" t="s">
        <v>38</v>
      </c>
      <c r="I56" s="3">
        <v>-77.8</v>
      </c>
      <c r="J56" s="3">
        <v>0.59999999999999798</v>
      </c>
      <c r="K56" s="3">
        <v>-76.400000000000006</v>
      </c>
      <c r="L56" s="3">
        <v>-67.2</v>
      </c>
      <c r="M56" s="3">
        <v>8.6</v>
      </c>
      <c r="N56" s="12">
        <f>Table1[[#This Row],[Tasks Done]]/Table1[[#This Row],[Target]]</f>
        <v>-8.8837209302325597</v>
      </c>
      <c r="O56" s="3">
        <v>-76000</v>
      </c>
      <c r="P56" s="12" t="str">
        <f>IF(Table1[[#This Row],[Achieve %]]&gt;0.9,"Yes","No")</f>
        <v>No</v>
      </c>
      <c r="Q56" s="3">
        <v>-27.8</v>
      </c>
      <c r="R56" s="13" t="str">
        <f>IF(Table1[[#This Row],[Perf Score]]&gt;=8,"Top Performer", "Needs Training")</f>
        <v>Needs Training</v>
      </c>
    </row>
    <row r="57" spans="1:18" ht="29.4" thickBot="1" x14ac:dyDescent="0.35">
      <c r="A57" s="3" t="s">
        <v>109</v>
      </c>
      <c r="B57" s="3" t="s">
        <v>14</v>
      </c>
      <c r="C57" s="3" t="s">
        <v>15</v>
      </c>
      <c r="D57" s="3" t="s">
        <v>16</v>
      </c>
      <c r="E57" s="3" t="s">
        <v>17</v>
      </c>
      <c r="F57" s="4">
        <v>46113</v>
      </c>
      <c r="G57" s="3" t="s">
        <v>54</v>
      </c>
      <c r="H57" s="3" t="s">
        <v>19</v>
      </c>
      <c r="I57" s="3">
        <v>-79.400000000000006</v>
      </c>
      <c r="J57" s="3">
        <v>0.59999999999999798</v>
      </c>
      <c r="K57" s="3">
        <v>-78</v>
      </c>
      <c r="L57" s="3">
        <v>-68.599999999999994</v>
      </c>
      <c r="M57" s="3">
        <v>8.6</v>
      </c>
      <c r="N57" s="12">
        <f>Table1[[#This Row],[Tasks Done]]/Table1[[#This Row],[Target]]</f>
        <v>-9.0697674418604652</v>
      </c>
      <c r="O57" s="3">
        <v>-78500</v>
      </c>
      <c r="P57" s="12" t="str">
        <f>IF(Table1[[#This Row],[Achieve %]]&gt;0.9,"Yes","No")</f>
        <v>No</v>
      </c>
      <c r="Q57" s="3">
        <v>-28.4</v>
      </c>
      <c r="R57" s="13" t="str">
        <f>IF(Table1[[#This Row],[Perf Score]]&gt;=8,"Top Performer", "Needs Training")</f>
        <v>Needs Training</v>
      </c>
    </row>
    <row r="58" spans="1:18" ht="29.4" thickBot="1" x14ac:dyDescent="0.35">
      <c r="A58" s="3" t="s">
        <v>110</v>
      </c>
      <c r="B58" s="3" t="s">
        <v>21</v>
      </c>
      <c r="C58" s="3" t="s">
        <v>22</v>
      </c>
      <c r="D58" s="3" t="s">
        <v>23</v>
      </c>
      <c r="E58" s="3" t="s">
        <v>24</v>
      </c>
      <c r="F58" s="4">
        <v>46113</v>
      </c>
      <c r="G58" s="3" t="s">
        <v>55</v>
      </c>
      <c r="H58" s="3" t="s">
        <v>25</v>
      </c>
      <c r="I58" s="3">
        <v>-81</v>
      </c>
      <c r="J58" s="3">
        <v>0.59999999999999798</v>
      </c>
      <c r="K58" s="3">
        <v>-79.599999999999994</v>
      </c>
      <c r="L58" s="3">
        <v>-70</v>
      </c>
      <c r="M58" s="3">
        <v>8.6</v>
      </c>
      <c r="N58" s="12">
        <f>Table1[[#This Row],[Tasks Done]]/Table1[[#This Row],[Target]]</f>
        <v>-9.2558139534883725</v>
      </c>
      <c r="O58" s="3">
        <v>-81000</v>
      </c>
      <c r="P58" s="12" t="str">
        <f>IF(Table1[[#This Row],[Achieve %]]&gt;0.9,"Yes","No")</f>
        <v>No</v>
      </c>
      <c r="Q58" s="3">
        <v>-29</v>
      </c>
      <c r="R58" s="13" t="str">
        <f>IF(Table1[[#This Row],[Perf Score]]&gt;=8,"Top Performer", "Needs Training")</f>
        <v>Needs Training</v>
      </c>
    </row>
    <row r="59" spans="1:18" ht="29.4" thickBot="1" x14ac:dyDescent="0.35">
      <c r="A59" s="3" t="s">
        <v>111</v>
      </c>
      <c r="B59" s="3" t="s">
        <v>27</v>
      </c>
      <c r="C59" s="3" t="s">
        <v>28</v>
      </c>
      <c r="D59" s="3" t="s">
        <v>29</v>
      </c>
      <c r="E59" s="3" t="s">
        <v>30</v>
      </c>
      <c r="F59" s="4">
        <v>46113</v>
      </c>
      <c r="G59" s="3" t="s">
        <v>56</v>
      </c>
      <c r="H59" s="3" t="s">
        <v>31</v>
      </c>
      <c r="I59" s="3">
        <v>-82.6</v>
      </c>
      <c r="J59" s="3">
        <v>0.59999999999999798</v>
      </c>
      <c r="K59" s="3">
        <v>-81.2</v>
      </c>
      <c r="L59" s="3">
        <v>-71.400000000000006</v>
      </c>
      <c r="M59" s="3">
        <v>8.6</v>
      </c>
      <c r="N59" s="12">
        <f>Table1[[#This Row],[Tasks Done]]/Table1[[#This Row],[Target]]</f>
        <v>-9.4418604651162799</v>
      </c>
      <c r="O59" s="3">
        <v>-83500</v>
      </c>
      <c r="P59" s="12" t="str">
        <f>IF(Table1[[#This Row],[Achieve %]]&gt;0.9,"Yes","No")</f>
        <v>No</v>
      </c>
      <c r="Q59" s="3">
        <v>-29.6</v>
      </c>
      <c r="R59" s="13" t="str">
        <f>IF(Table1[[#This Row],[Perf Score]]&gt;=8,"Top Performer", "Needs Training")</f>
        <v>Needs Training</v>
      </c>
    </row>
    <row r="60" spans="1:18" ht="29.4" thickBot="1" x14ac:dyDescent="0.35">
      <c r="A60" s="3" t="s">
        <v>112</v>
      </c>
      <c r="B60" s="3" t="s">
        <v>33</v>
      </c>
      <c r="C60" s="3" t="s">
        <v>15</v>
      </c>
      <c r="D60" s="3" t="s">
        <v>34</v>
      </c>
      <c r="E60" s="3" t="s">
        <v>17</v>
      </c>
      <c r="F60" s="4">
        <v>46113</v>
      </c>
      <c r="G60" s="3" t="s">
        <v>57</v>
      </c>
      <c r="H60" s="3" t="s">
        <v>19</v>
      </c>
      <c r="I60" s="3">
        <v>-84.2</v>
      </c>
      <c r="J60" s="3">
        <v>0.59999999999999798</v>
      </c>
      <c r="K60" s="3">
        <v>-82.8</v>
      </c>
      <c r="L60" s="3">
        <v>-72.8</v>
      </c>
      <c r="M60" s="3">
        <v>8.6</v>
      </c>
      <c r="N60" s="12">
        <f>Table1[[#This Row],[Tasks Done]]/Table1[[#This Row],[Target]]</f>
        <v>-9.6279069767441854</v>
      </c>
      <c r="O60" s="3">
        <v>-86000</v>
      </c>
      <c r="P60" s="12" t="str">
        <f>IF(Table1[[#This Row],[Achieve %]]&gt;0.9,"Yes","No")</f>
        <v>No</v>
      </c>
      <c r="Q60" s="3">
        <v>-30.2</v>
      </c>
      <c r="R60" s="13" t="str">
        <f>IF(Table1[[#This Row],[Perf Score]]&gt;=8,"Top Performer", "Needs Training")</f>
        <v>Needs Training</v>
      </c>
    </row>
    <row r="61" spans="1:18" ht="29.4" thickBot="1" x14ac:dyDescent="0.35">
      <c r="A61" s="3" t="s">
        <v>113</v>
      </c>
      <c r="B61" s="3" t="s">
        <v>36</v>
      </c>
      <c r="C61" s="3" t="s">
        <v>22</v>
      </c>
      <c r="D61" s="3" t="s">
        <v>37</v>
      </c>
      <c r="E61" s="3" t="s">
        <v>24</v>
      </c>
      <c r="F61" s="4">
        <v>46113</v>
      </c>
      <c r="G61" s="3" t="s">
        <v>18</v>
      </c>
      <c r="H61" s="3" t="s">
        <v>38</v>
      </c>
      <c r="I61" s="3">
        <v>-85.8</v>
      </c>
      <c r="J61" s="3">
        <v>0.59999999999999798</v>
      </c>
      <c r="K61" s="3">
        <v>-84.4</v>
      </c>
      <c r="L61" s="3">
        <v>-74.2</v>
      </c>
      <c r="M61" s="3">
        <v>8.6</v>
      </c>
      <c r="N61" s="12">
        <f>Table1[[#This Row],[Tasks Done]]/Table1[[#This Row],[Target]]</f>
        <v>-9.8139534883720945</v>
      </c>
      <c r="O61" s="3">
        <v>-88500</v>
      </c>
      <c r="P61" s="12" t="str">
        <f>IF(Table1[[#This Row],[Achieve %]]&gt;0.9,"Yes","No")</f>
        <v>No</v>
      </c>
      <c r="Q61" s="3">
        <v>-30.8</v>
      </c>
      <c r="R61" s="13" t="str">
        <f>IF(Table1[[#This Row],[Perf Score]]&gt;=8,"Top Performer", "Needs Training")</f>
        <v>Needs Training</v>
      </c>
    </row>
    <row r="62" spans="1:18" ht="29.4" thickBot="1" x14ac:dyDescent="0.35">
      <c r="A62" s="3" t="s">
        <v>114</v>
      </c>
      <c r="B62" s="3" t="s">
        <v>14</v>
      </c>
      <c r="C62" s="3" t="s">
        <v>15</v>
      </c>
      <c r="D62" s="3" t="s">
        <v>16</v>
      </c>
      <c r="E62" s="3" t="s">
        <v>17</v>
      </c>
      <c r="F62" s="4">
        <v>46113</v>
      </c>
      <c r="G62" s="3" t="s">
        <v>54</v>
      </c>
      <c r="H62" s="3" t="s">
        <v>19</v>
      </c>
      <c r="I62" s="3">
        <v>-87.4</v>
      </c>
      <c r="J62" s="3">
        <v>0.59999999999999798</v>
      </c>
      <c r="K62" s="3">
        <v>-86</v>
      </c>
      <c r="L62" s="3">
        <v>-75.599999999999994</v>
      </c>
      <c r="M62" s="3">
        <v>8.6</v>
      </c>
      <c r="N62" s="12">
        <f>Table1[[#This Row],[Tasks Done]]/Table1[[#This Row],[Target]]</f>
        <v>-10</v>
      </c>
      <c r="O62" s="3">
        <v>-91000</v>
      </c>
      <c r="P62" s="12" t="str">
        <f>IF(Table1[[#This Row],[Achieve %]]&gt;0.9,"Yes","No")</f>
        <v>No</v>
      </c>
      <c r="Q62" s="3">
        <v>-31.4</v>
      </c>
      <c r="R62" s="13" t="str">
        <f>IF(Table1[[#This Row],[Perf Score]]&gt;=8,"Top Performer", "Needs Training")</f>
        <v>Needs Training</v>
      </c>
    </row>
    <row r="63" spans="1:18" ht="29.4" thickBot="1" x14ac:dyDescent="0.35">
      <c r="A63" s="3" t="s">
        <v>115</v>
      </c>
      <c r="B63" s="3" t="s">
        <v>21</v>
      </c>
      <c r="C63" s="3" t="s">
        <v>22</v>
      </c>
      <c r="D63" s="3" t="s">
        <v>23</v>
      </c>
      <c r="E63" s="3" t="s">
        <v>24</v>
      </c>
      <c r="F63" s="4">
        <v>46113</v>
      </c>
      <c r="G63" s="3" t="s">
        <v>55</v>
      </c>
      <c r="H63" s="3" t="s">
        <v>25</v>
      </c>
      <c r="I63" s="3">
        <v>-89</v>
      </c>
      <c r="J63" s="3">
        <v>0.59999999999999798</v>
      </c>
      <c r="K63" s="3">
        <v>-87.6</v>
      </c>
      <c r="L63" s="3">
        <v>-77</v>
      </c>
      <c r="M63" s="3">
        <v>8.6</v>
      </c>
      <c r="N63" s="12">
        <f>Table1[[#This Row],[Tasks Done]]/Table1[[#This Row],[Target]]</f>
        <v>-10.186046511627907</v>
      </c>
      <c r="O63" s="3">
        <v>-93500</v>
      </c>
      <c r="P63" s="12" t="str">
        <f>IF(Table1[[#This Row],[Achieve %]]&gt;0.9,"Yes","No")</f>
        <v>No</v>
      </c>
      <c r="Q63" s="3">
        <v>-32</v>
      </c>
      <c r="R63" s="13" t="str">
        <f>IF(Table1[[#This Row],[Perf Score]]&gt;=8,"Top Performer", "Needs Training")</f>
        <v>Needs Training</v>
      </c>
    </row>
    <row r="64" spans="1:18" ht="29.4" thickBot="1" x14ac:dyDescent="0.35">
      <c r="A64" s="3" t="s">
        <v>116</v>
      </c>
      <c r="B64" s="3" t="s">
        <v>27</v>
      </c>
      <c r="C64" s="3" t="s">
        <v>28</v>
      </c>
      <c r="D64" s="3" t="s">
        <v>29</v>
      </c>
      <c r="E64" s="3" t="s">
        <v>30</v>
      </c>
      <c r="F64" s="4">
        <v>46113</v>
      </c>
      <c r="G64" s="3" t="s">
        <v>56</v>
      </c>
      <c r="H64" s="3" t="s">
        <v>31</v>
      </c>
      <c r="I64" s="3">
        <v>-90.6</v>
      </c>
      <c r="J64" s="3">
        <v>0.59999999999999798</v>
      </c>
      <c r="K64" s="3">
        <v>-89.2</v>
      </c>
      <c r="L64" s="3">
        <v>-78.400000000000006</v>
      </c>
      <c r="M64" s="3">
        <v>8.6</v>
      </c>
      <c r="N64" s="12">
        <f>Table1[[#This Row],[Tasks Done]]/Table1[[#This Row],[Target]]</f>
        <v>-10.372093023255815</v>
      </c>
      <c r="O64" s="3">
        <v>-96000</v>
      </c>
      <c r="P64" s="12" t="str">
        <f>IF(Table1[[#This Row],[Achieve %]]&gt;0.9,"Yes","No")</f>
        <v>No</v>
      </c>
      <c r="Q64" s="3">
        <v>-32.6</v>
      </c>
      <c r="R64" s="13" t="str">
        <f>IF(Table1[[#This Row],[Perf Score]]&gt;=8,"Top Performer", "Needs Training")</f>
        <v>Needs Training</v>
      </c>
    </row>
    <row r="65" spans="1:18" ht="29.4" thickBot="1" x14ac:dyDescent="0.35">
      <c r="A65" s="3" t="s">
        <v>117</v>
      </c>
      <c r="B65" s="3" t="s">
        <v>33</v>
      </c>
      <c r="C65" s="3" t="s">
        <v>15</v>
      </c>
      <c r="D65" s="3" t="s">
        <v>34</v>
      </c>
      <c r="E65" s="3" t="s">
        <v>17</v>
      </c>
      <c r="F65" s="4">
        <v>46113</v>
      </c>
      <c r="G65" s="3" t="s">
        <v>57</v>
      </c>
      <c r="H65" s="3" t="s">
        <v>19</v>
      </c>
      <c r="I65" s="3">
        <v>-92.2</v>
      </c>
      <c r="J65" s="3">
        <v>0.59999999999999798</v>
      </c>
      <c r="K65" s="3">
        <v>-90.8</v>
      </c>
      <c r="L65" s="3">
        <v>-79.8</v>
      </c>
      <c r="M65" s="3">
        <v>8.6</v>
      </c>
      <c r="N65" s="12">
        <f>Table1[[#This Row],[Tasks Done]]/Table1[[#This Row],[Target]]</f>
        <v>-10.558139534883722</v>
      </c>
      <c r="O65" s="3">
        <v>-98500</v>
      </c>
      <c r="P65" s="12" t="str">
        <f>IF(Table1[[#This Row],[Achieve %]]&gt;0.9,"Yes","No")</f>
        <v>No</v>
      </c>
      <c r="Q65" s="3">
        <v>-33.200000000000003</v>
      </c>
      <c r="R65" s="13" t="str">
        <f>IF(Table1[[#This Row],[Perf Score]]&gt;=8,"Top Performer", "Needs Training")</f>
        <v>Needs Training</v>
      </c>
    </row>
    <row r="66" spans="1:18" ht="29.4" thickBot="1" x14ac:dyDescent="0.35">
      <c r="A66" s="3" t="s">
        <v>118</v>
      </c>
      <c r="B66" s="3" t="s">
        <v>36</v>
      </c>
      <c r="C66" s="3" t="s">
        <v>22</v>
      </c>
      <c r="D66" s="3" t="s">
        <v>37</v>
      </c>
      <c r="E66" s="3" t="s">
        <v>24</v>
      </c>
      <c r="F66" s="4">
        <v>46113</v>
      </c>
      <c r="G66" s="3" t="s">
        <v>18</v>
      </c>
      <c r="H66" s="3" t="s">
        <v>38</v>
      </c>
      <c r="I66" s="3">
        <v>-93.8</v>
      </c>
      <c r="J66" s="3">
        <v>0.59999999999999798</v>
      </c>
      <c r="K66" s="3">
        <v>-92.4</v>
      </c>
      <c r="L66" s="3">
        <v>-81.2</v>
      </c>
      <c r="M66" s="3">
        <v>8.5999999999999908</v>
      </c>
      <c r="N66" s="12">
        <f>Table1[[#This Row],[Tasks Done]]/Table1[[#This Row],[Target]]</f>
        <v>-10.74418604651164</v>
      </c>
      <c r="O66" s="3">
        <v>-101000</v>
      </c>
      <c r="P66" s="12" t="str">
        <f>IF(Table1[[#This Row],[Achieve %]]&gt;0.9,"Yes","No")</f>
        <v>No</v>
      </c>
      <c r="Q66" s="3">
        <v>-33.799999999999997</v>
      </c>
      <c r="R66" s="13" t="str">
        <f>IF(Table1[[#This Row],[Perf Score]]&gt;=8,"Top Performer", "Needs Training")</f>
        <v>Needs Training</v>
      </c>
    </row>
    <row r="67" spans="1:18" ht="29.4" thickBot="1" x14ac:dyDescent="0.35">
      <c r="A67" s="3" t="s">
        <v>119</v>
      </c>
      <c r="B67" s="3" t="s">
        <v>14</v>
      </c>
      <c r="C67" s="3" t="s">
        <v>15</v>
      </c>
      <c r="D67" s="3" t="s">
        <v>16</v>
      </c>
      <c r="E67" s="3" t="s">
        <v>17</v>
      </c>
      <c r="F67" s="4">
        <v>46113</v>
      </c>
      <c r="G67" s="3" t="s">
        <v>54</v>
      </c>
      <c r="H67" s="3" t="s">
        <v>19</v>
      </c>
      <c r="I67" s="3">
        <v>-95.4</v>
      </c>
      <c r="J67" s="3">
        <v>0.59999999999999798</v>
      </c>
      <c r="K67" s="3">
        <v>-94</v>
      </c>
      <c r="L67" s="3">
        <v>-82.6</v>
      </c>
      <c r="M67" s="3">
        <v>8.5999999999999908</v>
      </c>
      <c r="N67" s="12">
        <f>Table1[[#This Row],[Tasks Done]]/Table1[[#This Row],[Target]]</f>
        <v>-10.930232558139547</v>
      </c>
      <c r="O67" s="3">
        <v>-103500</v>
      </c>
      <c r="P67" s="12" t="str">
        <f>IF(Table1[[#This Row],[Achieve %]]&gt;0.9,"Yes","No")</f>
        <v>No</v>
      </c>
      <c r="Q67" s="3">
        <v>-34.4</v>
      </c>
      <c r="R67" s="13" t="str">
        <f>IF(Table1[[#This Row],[Perf Score]]&gt;=8,"Top Performer", "Needs Training")</f>
        <v>Needs Training</v>
      </c>
    </row>
    <row r="68" spans="1:18" ht="29.4" thickBot="1" x14ac:dyDescent="0.35">
      <c r="A68" s="3" t="s">
        <v>120</v>
      </c>
      <c r="B68" s="3" t="s">
        <v>21</v>
      </c>
      <c r="C68" s="3" t="s">
        <v>22</v>
      </c>
      <c r="D68" s="3" t="s">
        <v>23</v>
      </c>
      <c r="E68" s="3" t="s">
        <v>24</v>
      </c>
      <c r="F68" s="4">
        <v>46113</v>
      </c>
      <c r="G68" s="3" t="s">
        <v>55</v>
      </c>
      <c r="H68" s="3" t="s">
        <v>25</v>
      </c>
      <c r="I68" s="3">
        <v>-97</v>
      </c>
      <c r="J68" s="3">
        <v>0.59999999999999798</v>
      </c>
      <c r="K68" s="3">
        <v>-95.6</v>
      </c>
      <c r="L68" s="3">
        <v>-84</v>
      </c>
      <c r="M68" s="3">
        <v>8.5999999999999908</v>
      </c>
      <c r="N68" s="12">
        <f>Table1[[#This Row],[Tasks Done]]/Table1[[#This Row],[Target]]</f>
        <v>-11.116279069767453</v>
      </c>
      <c r="O68" s="3">
        <v>-106000</v>
      </c>
      <c r="P68" s="12" t="str">
        <f>IF(Table1[[#This Row],[Achieve %]]&gt;0.9,"Yes","No")</f>
        <v>No</v>
      </c>
      <c r="Q68" s="3">
        <v>-35</v>
      </c>
      <c r="R68" s="13" t="str">
        <f>IF(Table1[[#This Row],[Perf Score]]&gt;=8,"Top Performer", "Needs Training")</f>
        <v>Needs Training</v>
      </c>
    </row>
    <row r="69" spans="1:18" ht="29.4" thickBot="1" x14ac:dyDescent="0.35">
      <c r="A69" s="3" t="s">
        <v>121</v>
      </c>
      <c r="B69" s="3" t="s">
        <v>27</v>
      </c>
      <c r="C69" s="3" t="s">
        <v>28</v>
      </c>
      <c r="D69" s="3" t="s">
        <v>29</v>
      </c>
      <c r="E69" s="3" t="s">
        <v>30</v>
      </c>
      <c r="F69" s="4">
        <v>46113</v>
      </c>
      <c r="G69" s="3" t="s">
        <v>56</v>
      </c>
      <c r="H69" s="3" t="s">
        <v>31</v>
      </c>
      <c r="I69" s="3">
        <v>-98.6</v>
      </c>
      <c r="J69" s="3">
        <v>0.59999999999999798</v>
      </c>
      <c r="K69" s="3">
        <v>-97.2</v>
      </c>
      <c r="L69" s="3">
        <v>-85.4</v>
      </c>
      <c r="M69" s="3">
        <v>8.5999999999999908</v>
      </c>
      <c r="N69" s="12">
        <f>Table1[[#This Row],[Tasks Done]]/Table1[[#This Row],[Target]]</f>
        <v>-11.302325581395362</v>
      </c>
      <c r="O69" s="3">
        <v>-108500</v>
      </c>
      <c r="P69" s="12" t="str">
        <f>IF(Table1[[#This Row],[Achieve %]]&gt;0.9,"Yes","No")</f>
        <v>No</v>
      </c>
      <c r="Q69" s="3">
        <v>-35.6</v>
      </c>
      <c r="R69" s="13" t="str">
        <f>IF(Table1[[#This Row],[Perf Score]]&gt;=8,"Top Performer", "Needs Training")</f>
        <v>Needs Training</v>
      </c>
    </row>
    <row r="70" spans="1:18" ht="29.4" thickBot="1" x14ac:dyDescent="0.35">
      <c r="A70" s="3" t="s">
        <v>122</v>
      </c>
      <c r="B70" s="3" t="s">
        <v>33</v>
      </c>
      <c r="C70" s="3" t="s">
        <v>15</v>
      </c>
      <c r="D70" s="3" t="s">
        <v>34</v>
      </c>
      <c r="E70" s="3" t="s">
        <v>17</v>
      </c>
      <c r="F70" s="4">
        <v>46113</v>
      </c>
      <c r="G70" s="3" t="s">
        <v>57</v>
      </c>
      <c r="H70" s="3" t="s">
        <v>19</v>
      </c>
      <c r="I70" s="3">
        <v>-100.2</v>
      </c>
      <c r="J70" s="3">
        <v>0.59999999999999798</v>
      </c>
      <c r="K70" s="3">
        <v>-98.8</v>
      </c>
      <c r="L70" s="3">
        <v>-86.8</v>
      </c>
      <c r="M70" s="3">
        <v>8.5999999999999908</v>
      </c>
      <c r="N70" s="12">
        <f>Table1[[#This Row],[Tasks Done]]/Table1[[#This Row],[Target]]</f>
        <v>-11.488372093023267</v>
      </c>
      <c r="O70" s="3">
        <v>-111000</v>
      </c>
      <c r="P70" s="12" t="str">
        <f>IF(Table1[[#This Row],[Achieve %]]&gt;0.9,"Yes","No")</f>
        <v>No</v>
      </c>
      <c r="Q70" s="3">
        <v>-36.200000000000003</v>
      </c>
      <c r="R70" s="13" t="str">
        <f>IF(Table1[[#This Row],[Perf Score]]&gt;=8,"Top Performer", "Needs Training")</f>
        <v>Needs Training</v>
      </c>
    </row>
    <row r="71" spans="1:18" ht="29.4" thickBot="1" x14ac:dyDescent="0.35">
      <c r="A71" s="3" t="s">
        <v>123</v>
      </c>
      <c r="B71" s="3" t="s">
        <v>36</v>
      </c>
      <c r="C71" s="3" t="s">
        <v>22</v>
      </c>
      <c r="D71" s="3" t="s">
        <v>37</v>
      </c>
      <c r="E71" s="3" t="s">
        <v>24</v>
      </c>
      <c r="F71" s="4">
        <v>46113</v>
      </c>
      <c r="G71" s="3" t="s">
        <v>18</v>
      </c>
      <c r="H71" s="3" t="s">
        <v>38</v>
      </c>
      <c r="I71" s="3">
        <v>-101.8</v>
      </c>
      <c r="J71" s="3">
        <v>0.59999999999999798</v>
      </c>
      <c r="K71" s="3">
        <v>-100.4</v>
      </c>
      <c r="L71" s="3">
        <v>-88.2</v>
      </c>
      <c r="M71" s="3">
        <v>8.5999999999999908</v>
      </c>
      <c r="N71" s="12">
        <f>Table1[[#This Row],[Tasks Done]]/Table1[[#This Row],[Target]]</f>
        <v>-11.674418604651176</v>
      </c>
      <c r="O71" s="3">
        <v>-113500</v>
      </c>
      <c r="P71" s="12" t="str">
        <f>IF(Table1[[#This Row],[Achieve %]]&gt;0.9,"Yes","No")</f>
        <v>No</v>
      </c>
      <c r="Q71" s="3">
        <v>-36.799999999999997</v>
      </c>
      <c r="R71" s="13" t="str">
        <f>IF(Table1[[#This Row],[Perf Score]]&gt;=8,"Top Performer", "Needs Training")</f>
        <v>Needs Training</v>
      </c>
    </row>
    <row r="72" spans="1:18" ht="29.4" thickBot="1" x14ac:dyDescent="0.35">
      <c r="A72" s="3" t="s">
        <v>124</v>
      </c>
      <c r="B72" s="3" t="s">
        <v>14</v>
      </c>
      <c r="C72" s="3" t="s">
        <v>15</v>
      </c>
      <c r="D72" s="3" t="s">
        <v>16</v>
      </c>
      <c r="E72" s="3" t="s">
        <v>17</v>
      </c>
      <c r="F72" s="4">
        <v>46113</v>
      </c>
      <c r="G72" s="3" t="s">
        <v>54</v>
      </c>
      <c r="H72" s="3" t="s">
        <v>19</v>
      </c>
      <c r="I72" s="3">
        <v>-103.4</v>
      </c>
      <c r="J72" s="3">
        <v>0.59999999999999798</v>
      </c>
      <c r="K72" s="3">
        <v>-102</v>
      </c>
      <c r="L72" s="3">
        <v>-89.6</v>
      </c>
      <c r="M72" s="3">
        <v>8.5999999999999908</v>
      </c>
      <c r="N72" s="12">
        <f>Table1[[#This Row],[Tasks Done]]/Table1[[#This Row],[Target]]</f>
        <v>-11.860465116279082</v>
      </c>
      <c r="O72" s="3">
        <v>-116000</v>
      </c>
      <c r="P72" s="12" t="str">
        <f>IF(Table1[[#This Row],[Achieve %]]&gt;0.9,"Yes","No")</f>
        <v>No</v>
      </c>
      <c r="Q72" s="3">
        <v>-37.4</v>
      </c>
      <c r="R72" s="13" t="str">
        <f>IF(Table1[[#This Row],[Perf Score]]&gt;=8,"Top Performer", "Needs Training")</f>
        <v>Needs Training</v>
      </c>
    </row>
    <row r="73" spans="1:18" ht="29.4" thickBot="1" x14ac:dyDescent="0.35">
      <c r="A73" s="3" t="s">
        <v>125</v>
      </c>
      <c r="B73" s="3" t="s">
        <v>21</v>
      </c>
      <c r="C73" s="3" t="s">
        <v>22</v>
      </c>
      <c r="D73" s="3" t="s">
        <v>23</v>
      </c>
      <c r="E73" s="3" t="s">
        <v>24</v>
      </c>
      <c r="F73" s="4">
        <v>46113</v>
      </c>
      <c r="G73" s="3" t="s">
        <v>55</v>
      </c>
      <c r="H73" s="3" t="s">
        <v>25</v>
      </c>
      <c r="I73" s="3">
        <v>-105</v>
      </c>
      <c r="J73" s="3">
        <v>0.59999999999999798</v>
      </c>
      <c r="K73" s="3">
        <v>-103.6</v>
      </c>
      <c r="L73" s="3">
        <v>-91</v>
      </c>
      <c r="M73" s="3">
        <v>8.5999999999999908</v>
      </c>
      <c r="N73" s="12">
        <f>Table1[[#This Row],[Tasks Done]]/Table1[[#This Row],[Target]]</f>
        <v>-12.046511627906989</v>
      </c>
      <c r="O73" s="3">
        <v>-118500</v>
      </c>
      <c r="P73" s="12" t="str">
        <f>IF(Table1[[#This Row],[Achieve %]]&gt;0.9,"Yes","No")</f>
        <v>No</v>
      </c>
      <c r="Q73" s="3">
        <v>-38</v>
      </c>
      <c r="R73" s="13" t="str">
        <f>IF(Table1[[#This Row],[Perf Score]]&gt;=8,"Top Performer", "Needs Training")</f>
        <v>Needs Training</v>
      </c>
    </row>
    <row r="74" spans="1:18" ht="29.4" thickBot="1" x14ac:dyDescent="0.35">
      <c r="A74" s="3" t="s">
        <v>126</v>
      </c>
      <c r="B74" s="3" t="s">
        <v>27</v>
      </c>
      <c r="C74" s="3" t="s">
        <v>28</v>
      </c>
      <c r="D74" s="3" t="s">
        <v>29</v>
      </c>
      <c r="E74" s="3" t="s">
        <v>30</v>
      </c>
      <c r="F74" s="4">
        <v>46113</v>
      </c>
      <c r="G74" s="3" t="s">
        <v>56</v>
      </c>
      <c r="H74" s="3" t="s">
        <v>31</v>
      </c>
      <c r="I74" s="3">
        <v>-106.6</v>
      </c>
      <c r="J74" s="3">
        <v>0.59999999999999798</v>
      </c>
      <c r="K74" s="3">
        <v>-105.2</v>
      </c>
      <c r="L74" s="3">
        <v>-92.4</v>
      </c>
      <c r="M74" s="3">
        <v>8.5999999999999908</v>
      </c>
      <c r="N74" s="12">
        <f>Table1[[#This Row],[Tasks Done]]/Table1[[#This Row],[Target]]</f>
        <v>-12.232558139534897</v>
      </c>
      <c r="O74" s="3">
        <v>-121000</v>
      </c>
      <c r="P74" s="12" t="str">
        <f>IF(Table1[[#This Row],[Achieve %]]&gt;0.9,"Yes","No")</f>
        <v>No</v>
      </c>
      <c r="Q74" s="3">
        <v>-38.6</v>
      </c>
      <c r="R74" s="13" t="str">
        <f>IF(Table1[[#This Row],[Perf Score]]&gt;=8,"Top Performer", "Needs Training")</f>
        <v>Needs Training</v>
      </c>
    </row>
    <row r="75" spans="1:18" ht="29.4" thickBot="1" x14ac:dyDescent="0.35">
      <c r="A75" s="3" t="s">
        <v>127</v>
      </c>
      <c r="B75" s="3" t="s">
        <v>33</v>
      </c>
      <c r="C75" s="3" t="s">
        <v>15</v>
      </c>
      <c r="D75" s="3" t="s">
        <v>34</v>
      </c>
      <c r="E75" s="3" t="s">
        <v>17</v>
      </c>
      <c r="F75" s="4">
        <v>46113</v>
      </c>
      <c r="G75" s="3" t="s">
        <v>57</v>
      </c>
      <c r="H75" s="3" t="s">
        <v>19</v>
      </c>
      <c r="I75" s="3">
        <v>-108.2</v>
      </c>
      <c r="J75" s="3">
        <v>0.59999999999999798</v>
      </c>
      <c r="K75" s="3">
        <v>-106.8</v>
      </c>
      <c r="L75" s="3">
        <v>-93.8</v>
      </c>
      <c r="M75" s="3">
        <v>8.5999999999999908</v>
      </c>
      <c r="N75" s="12">
        <f>Table1[[#This Row],[Tasks Done]]/Table1[[#This Row],[Target]]</f>
        <v>-12.418604651162804</v>
      </c>
      <c r="O75" s="3">
        <v>-123500</v>
      </c>
      <c r="P75" s="12" t="str">
        <f>IF(Table1[[#This Row],[Achieve %]]&gt;0.9,"Yes","No")</f>
        <v>No</v>
      </c>
      <c r="Q75" s="3">
        <v>-39.200000000000003</v>
      </c>
      <c r="R75" s="13" t="str">
        <f>IF(Table1[[#This Row],[Perf Score]]&gt;=8,"Top Performer", "Needs Training")</f>
        <v>Needs Training</v>
      </c>
    </row>
    <row r="76" spans="1:18" ht="29.4" thickBot="1" x14ac:dyDescent="0.35">
      <c r="A76" s="3" t="s">
        <v>128</v>
      </c>
      <c r="B76" s="3" t="s">
        <v>36</v>
      </c>
      <c r="C76" s="3" t="s">
        <v>22</v>
      </c>
      <c r="D76" s="3" t="s">
        <v>37</v>
      </c>
      <c r="E76" s="3" t="s">
        <v>24</v>
      </c>
      <c r="F76" s="4">
        <v>46113</v>
      </c>
      <c r="G76" s="3" t="s">
        <v>18</v>
      </c>
      <c r="H76" s="3" t="s">
        <v>38</v>
      </c>
      <c r="I76" s="3">
        <v>-109.8</v>
      </c>
      <c r="J76" s="3">
        <v>0.59999999999999798</v>
      </c>
      <c r="K76" s="3">
        <v>-108.4</v>
      </c>
      <c r="L76" s="3">
        <v>-95.2</v>
      </c>
      <c r="M76" s="3">
        <v>8.5999999999999908</v>
      </c>
      <c r="N76" s="12">
        <f>Table1[[#This Row],[Tasks Done]]/Table1[[#This Row],[Target]]</f>
        <v>-12.604651162790711</v>
      </c>
      <c r="O76" s="3">
        <v>-126000</v>
      </c>
      <c r="P76" s="12" t="str">
        <f>IF(Table1[[#This Row],[Achieve %]]&gt;0.9,"Yes","No")</f>
        <v>No</v>
      </c>
      <c r="Q76" s="3">
        <v>-39.799999999999997</v>
      </c>
      <c r="R76" s="13" t="str">
        <f>IF(Table1[[#This Row],[Perf Score]]&gt;=8,"Top Performer", "Needs Training")</f>
        <v>Needs Training</v>
      </c>
    </row>
    <row r="77" spans="1:18" ht="29.4" thickBot="1" x14ac:dyDescent="0.35">
      <c r="A77" s="3" t="s">
        <v>129</v>
      </c>
      <c r="B77" s="3" t="s">
        <v>14</v>
      </c>
      <c r="C77" s="3" t="s">
        <v>15</v>
      </c>
      <c r="D77" s="3" t="s">
        <v>16</v>
      </c>
      <c r="E77" s="3" t="s">
        <v>17</v>
      </c>
      <c r="F77" s="4">
        <v>46113</v>
      </c>
      <c r="G77" s="3" t="s">
        <v>54</v>
      </c>
      <c r="H77" s="3" t="s">
        <v>19</v>
      </c>
      <c r="I77" s="3">
        <v>-111.4</v>
      </c>
      <c r="J77" s="3">
        <v>0.59999999999999698</v>
      </c>
      <c r="K77" s="3">
        <v>-110</v>
      </c>
      <c r="L77" s="3">
        <v>-96.6</v>
      </c>
      <c r="M77" s="3">
        <v>8.5999999999999908</v>
      </c>
      <c r="N77" s="12">
        <f>Table1[[#This Row],[Tasks Done]]/Table1[[#This Row],[Target]]</f>
        <v>-12.790697674418618</v>
      </c>
      <c r="O77" s="3">
        <v>-128500</v>
      </c>
      <c r="P77" s="12" t="str">
        <f>IF(Table1[[#This Row],[Achieve %]]&gt;0.9,"Yes","No")</f>
        <v>No</v>
      </c>
      <c r="Q77" s="3">
        <v>-40.4</v>
      </c>
      <c r="R77" s="13" t="str">
        <f>IF(Table1[[#This Row],[Perf Score]]&gt;=8,"Top Performer", "Needs Training")</f>
        <v>Needs Training</v>
      </c>
    </row>
    <row r="78" spans="1:18" ht="29.4" thickBot="1" x14ac:dyDescent="0.35">
      <c r="A78" s="3" t="s">
        <v>130</v>
      </c>
      <c r="B78" s="3" t="s">
        <v>21</v>
      </c>
      <c r="C78" s="3" t="s">
        <v>22</v>
      </c>
      <c r="D78" s="3" t="s">
        <v>23</v>
      </c>
      <c r="E78" s="3" t="s">
        <v>24</v>
      </c>
      <c r="F78" s="4">
        <v>46113</v>
      </c>
      <c r="G78" s="3" t="s">
        <v>55</v>
      </c>
      <c r="H78" s="3" t="s">
        <v>25</v>
      </c>
      <c r="I78" s="3">
        <v>-113</v>
      </c>
      <c r="J78" s="3">
        <v>0.59999999999999698</v>
      </c>
      <c r="K78" s="3">
        <v>-111.6</v>
      </c>
      <c r="L78" s="3">
        <v>-98</v>
      </c>
      <c r="M78" s="3">
        <v>8.5999999999999908</v>
      </c>
      <c r="N78" s="12">
        <f>Table1[[#This Row],[Tasks Done]]/Table1[[#This Row],[Target]]</f>
        <v>-12.976744186046524</v>
      </c>
      <c r="O78" s="3">
        <v>-131000</v>
      </c>
      <c r="P78" s="12" t="str">
        <f>IF(Table1[[#This Row],[Achieve %]]&gt;0.9,"Yes","No")</f>
        <v>No</v>
      </c>
      <c r="Q78" s="3">
        <v>-41</v>
      </c>
      <c r="R78" s="13" t="str">
        <f>IF(Table1[[#This Row],[Perf Score]]&gt;=8,"Top Performer", "Needs Training")</f>
        <v>Needs Training</v>
      </c>
    </row>
    <row r="79" spans="1:18" ht="29.4" thickBot="1" x14ac:dyDescent="0.35">
      <c r="A79" s="3" t="s">
        <v>131</v>
      </c>
      <c r="B79" s="3" t="s">
        <v>27</v>
      </c>
      <c r="C79" s="3" t="s">
        <v>28</v>
      </c>
      <c r="D79" s="3" t="s">
        <v>29</v>
      </c>
      <c r="E79" s="3" t="s">
        <v>30</v>
      </c>
      <c r="F79" s="4">
        <v>46113</v>
      </c>
      <c r="G79" s="3" t="s">
        <v>56</v>
      </c>
      <c r="H79" s="3" t="s">
        <v>31</v>
      </c>
      <c r="I79" s="3">
        <v>-114.6</v>
      </c>
      <c r="J79" s="3">
        <v>0.59999999999999698</v>
      </c>
      <c r="K79" s="3">
        <v>-113.2</v>
      </c>
      <c r="L79" s="3">
        <v>-99.4</v>
      </c>
      <c r="M79" s="3">
        <v>8.5999999999999908</v>
      </c>
      <c r="N79" s="12">
        <f>Table1[[#This Row],[Tasks Done]]/Table1[[#This Row],[Target]]</f>
        <v>-13.162790697674433</v>
      </c>
      <c r="O79" s="3">
        <v>-133500</v>
      </c>
      <c r="P79" s="12" t="str">
        <f>IF(Table1[[#This Row],[Achieve %]]&gt;0.9,"Yes","No")</f>
        <v>No</v>
      </c>
      <c r="Q79" s="3">
        <v>-41.6</v>
      </c>
      <c r="R79" s="13" t="str">
        <f>IF(Table1[[#This Row],[Perf Score]]&gt;=8,"Top Performer", "Needs Training")</f>
        <v>Needs Training</v>
      </c>
    </row>
    <row r="80" spans="1:18" ht="29.4" thickBot="1" x14ac:dyDescent="0.35">
      <c r="A80" s="3" t="s">
        <v>132</v>
      </c>
      <c r="B80" s="3" t="s">
        <v>33</v>
      </c>
      <c r="C80" s="3" t="s">
        <v>15</v>
      </c>
      <c r="D80" s="3" t="s">
        <v>34</v>
      </c>
      <c r="E80" s="3" t="s">
        <v>17</v>
      </c>
      <c r="F80" s="4">
        <v>46113</v>
      </c>
      <c r="G80" s="3" t="s">
        <v>57</v>
      </c>
      <c r="H80" s="3" t="s">
        <v>19</v>
      </c>
      <c r="I80" s="3">
        <v>-116.2</v>
      </c>
      <c r="J80" s="3">
        <v>0.59999999999999698</v>
      </c>
      <c r="K80" s="3">
        <v>-114.8</v>
      </c>
      <c r="L80" s="3">
        <v>-100.8</v>
      </c>
      <c r="M80" s="3">
        <v>8.5999999999999908</v>
      </c>
      <c r="N80" s="12">
        <f>Table1[[#This Row],[Tasks Done]]/Table1[[#This Row],[Target]]</f>
        <v>-13.34883720930234</v>
      </c>
      <c r="O80" s="3">
        <v>-136000</v>
      </c>
      <c r="P80" s="12" t="str">
        <f>IF(Table1[[#This Row],[Achieve %]]&gt;0.9,"Yes","No")</f>
        <v>No</v>
      </c>
      <c r="Q80" s="3">
        <v>-42.2</v>
      </c>
      <c r="R80" s="13" t="str">
        <f>IF(Table1[[#This Row],[Perf Score]]&gt;=8,"Top Performer", "Needs Training")</f>
        <v>Needs Training</v>
      </c>
    </row>
    <row r="81" spans="1:18" ht="29.4" thickBot="1" x14ac:dyDescent="0.35">
      <c r="A81" s="3" t="s">
        <v>133</v>
      </c>
      <c r="B81" s="3" t="s">
        <v>36</v>
      </c>
      <c r="C81" s="3" t="s">
        <v>22</v>
      </c>
      <c r="D81" s="3" t="s">
        <v>37</v>
      </c>
      <c r="E81" s="3" t="s">
        <v>24</v>
      </c>
      <c r="F81" s="4">
        <v>46113</v>
      </c>
      <c r="G81" s="3" t="s">
        <v>18</v>
      </c>
      <c r="H81" s="3" t="s">
        <v>38</v>
      </c>
      <c r="I81" s="3">
        <v>-117.8</v>
      </c>
      <c r="J81" s="3">
        <v>0.59999999999999698</v>
      </c>
      <c r="K81" s="3">
        <v>-116.4</v>
      </c>
      <c r="L81" s="3">
        <v>-102.2</v>
      </c>
      <c r="M81" s="3">
        <v>8.5999999999999908</v>
      </c>
      <c r="N81" s="12">
        <f>Table1[[#This Row],[Tasks Done]]/Table1[[#This Row],[Target]]</f>
        <v>-13.534883720930248</v>
      </c>
      <c r="O81" s="3">
        <v>-138500</v>
      </c>
      <c r="P81" s="12" t="str">
        <f>IF(Table1[[#This Row],[Achieve %]]&gt;0.9,"Yes","No")</f>
        <v>No</v>
      </c>
      <c r="Q81" s="3">
        <v>-42.8</v>
      </c>
      <c r="R81" s="13" t="str">
        <f>IF(Table1[[#This Row],[Perf Score]]&gt;=8,"Top Performer", "Needs Training")</f>
        <v>Needs Training</v>
      </c>
    </row>
    <row r="82" spans="1:18" ht="29.4" thickBot="1" x14ac:dyDescent="0.35">
      <c r="A82" s="3" t="s">
        <v>134</v>
      </c>
      <c r="B82" s="3" t="s">
        <v>14</v>
      </c>
      <c r="C82" s="3" t="s">
        <v>15</v>
      </c>
      <c r="D82" s="3" t="s">
        <v>16</v>
      </c>
      <c r="E82" s="3" t="s">
        <v>17</v>
      </c>
      <c r="F82" s="4">
        <v>46113</v>
      </c>
      <c r="G82" s="3" t="s">
        <v>54</v>
      </c>
      <c r="H82" s="3" t="s">
        <v>19</v>
      </c>
      <c r="I82" s="3">
        <v>-119.4</v>
      </c>
      <c r="J82" s="3">
        <v>0.59999999999999698</v>
      </c>
      <c r="K82" s="3">
        <v>-118</v>
      </c>
      <c r="L82" s="3">
        <v>-103.6</v>
      </c>
      <c r="M82" s="3">
        <v>8.5999999999999908</v>
      </c>
      <c r="N82" s="12">
        <f>Table1[[#This Row],[Tasks Done]]/Table1[[#This Row],[Target]]</f>
        <v>-13.720930232558155</v>
      </c>
      <c r="O82" s="3">
        <v>-141000</v>
      </c>
      <c r="P82" s="12" t="str">
        <f>IF(Table1[[#This Row],[Achieve %]]&gt;0.9,"Yes","No")</f>
        <v>No</v>
      </c>
      <c r="Q82" s="3">
        <v>-43.4</v>
      </c>
      <c r="R82" s="13" t="str">
        <f>IF(Table1[[#This Row],[Perf Score]]&gt;=8,"Top Performer", "Needs Training")</f>
        <v>Needs Training</v>
      </c>
    </row>
    <row r="83" spans="1:18" ht="29.4" thickBot="1" x14ac:dyDescent="0.35">
      <c r="A83" s="3" t="s">
        <v>135</v>
      </c>
      <c r="B83" s="3" t="s">
        <v>21</v>
      </c>
      <c r="C83" s="3" t="s">
        <v>22</v>
      </c>
      <c r="D83" s="3" t="s">
        <v>23</v>
      </c>
      <c r="E83" s="3" t="s">
        <v>24</v>
      </c>
      <c r="F83" s="4">
        <v>46113</v>
      </c>
      <c r="G83" s="3" t="s">
        <v>55</v>
      </c>
      <c r="H83" s="3" t="s">
        <v>25</v>
      </c>
      <c r="I83" s="3">
        <v>-121</v>
      </c>
      <c r="J83" s="3">
        <v>0.59999999999999698</v>
      </c>
      <c r="K83" s="3">
        <v>-119.6</v>
      </c>
      <c r="L83" s="3">
        <v>-105</v>
      </c>
      <c r="M83" s="3">
        <v>8.5999999999999908</v>
      </c>
      <c r="N83" s="12">
        <f>Table1[[#This Row],[Tasks Done]]/Table1[[#This Row],[Target]]</f>
        <v>-13.906976744186061</v>
      </c>
      <c r="O83" s="3">
        <v>-143500</v>
      </c>
      <c r="P83" s="12" t="str">
        <f>IF(Table1[[#This Row],[Achieve %]]&gt;0.9,"Yes","No")</f>
        <v>No</v>
      </c>
      <c r="Q83" s="3">
        <v>-44</v>
      </c>
      <c r="R83" s="13" t="str">
        <f>IF(Table1[[#This Row],[Perf Score]]&gt;=8,"Top Performer", "Needs Training")</f>
        <v>Needs Training</v>
      </c>
    </row>
    <row r="84" spans="1:18" ht="29.4" thickBot="1" x14ac:dyDescent="0.35">
      <c r="A84" s="3" t="s">
        <v>136</v>
      </c>
      <c r="B84" s="3" t="s">
        <v>27</v>
      </c>
      <c r="C84" s="3" t="s">
        <v>28</v>
      </c>
      <c r="D84" s="3" t="s">
        <v>29</v>
      </c>
      <c r="E84" s="3" t="s">
        <v>30</v>
      </c>
      <c r="F84" s="4">
        <v>46113</v>
      </c>
      <c r="G84" s="3" t="s">
        <v>56</v>
      </c>
      <c r="H84" s="3" t="s">
        <v>31</v>
      </c>
      <c r="I84" s="3">
        <v>-122.6</v>
      </c>
      <c r="J84" s="3">
        <v>0.59999999999999698</v>
      </c>
      <c r="K84" s="3">
        <v>-121.2</v>
      </c>
      <c r="L84" s="3">
        <v>-106.4</v>
      </c>
      <c r="M84" s="3">
        <v>8.5999999999999908</v>
      </c>
      <c r="N84" s="12">
        <f>Table1[[#This Row],[Tasks Done]]/Table1[[#This Row],[Target]]</f>
        <v>-14.09302325581397</v>
      </c>
      <c r="O84" s="3">
        <v>-146000</v>
      </c>
      <c r="P84" s="12" t="str">
        <f>IF(Table1[[#This Row],[Achieve %]]&gt;0.9,"Yes","No")</f>
        <v>No</v>
      </c>
      <c r="Q84" s="3">
        <v>-44.6</v>
      </c>
      <c r="R84" s="13" t="str">
        <f>IF(Table1[[#This Row],[Perf Score]]&gt;=8,"Top Performer", "Needs Training")</f>
        <v>Needs Training</v>
      </c>
    </row>
    <row r="85" spans="1:18" ht="29.4" thickBot="1" x14ac:dyDescent="0.35">
      <c r="A85" s="3" t="s">
        <v>137</v>
      </c>
      <c r="B85" s="3" t="s">
        <v>33</v>
      </c>
      <c r="C85" s="3" t="s">
        <v>15</v>
      </c>
      <c r="D85" s="3" t="s">
        <v>34</v>
      </c>
      <c r="E85" s="3" t="s">
        <v>17</v>
      </c>
      <c r="F85" s="4">
        <v>46113</v>
      </c>
      <c r="G85" s="3" t="s">
        <v>57</v>
      </c>
      <c r="H85" s="3" t="s">
        <v>19</v>
      </c>
      <c r="I85" s="3">
        <v>-124.2</v>
      </c>
      <c r="J85" s="3">
        <v>0.59999999999999698</v>
      </c>
      <c r="K85" s="3">
        <v>-122.8</v>
      </c>
      <c r="L85" s="3">
        <v>-107.8</v>
      </c>
      <c r="M85" s="3">
        <v>8.5999999999999908</v>
      </c>
      <c r="N85" s="12">
        <f>Table1[[#This Row],[Tasks Done]]/Table1[[#This Row],[Target]]</f>
        <v>-14.279069767441875</v>
      </c>
      <c r="O85" s="3">
        <v>-148500</v>
      </c>
      <c r="P85" s="12" t="str">
        <f>IF(Table1[[#This Row],[Achieve %]]&gt;0.9,"Yes","No")</f>
        <v>No</v>
      </c>
      <c r="Q85" s="3">
        <v>-45.2</v>
      </c>
      <c r="R85" s="13" t="str">
        <f>IF(Table1[[#This Row],[Perf Score]]&gt;=8,"Top Performer", "Needs Training")</f>
        <v>Needs Training</v>
      </c>
    </row>
    <row r="86" spans="1:18" ht="29.4" thickBot="1" x14ac:dyDescent="0.35">
      <c r="A86" s="3" t="s">
        <v>138</v>
      </c>
      <c r="B86" s="3" t="s">
        <v>36</v>
      </c>
      <c r="C86" s="3" t="s">
        <v>22</v>
      </c>
      <c r="D86" s="3" t="s">
        <v>37</v>
      </c>
      <c r="E86" s="3" t="s">
        <v>24</v>
      </c>
      <c r="F86" s="4">
        <v>46113</v>
      </c>
      <c r="G86" s="3" t="s">
        <v>18</v>
      </c>
      <c r="H86" s="3" t="s">
        <v>38</v>
      </c>
      <c r="I86" s="3">
        <v>-125.8</v>
      </c>
      <c r="J86" s="3">
        <v>0.59999999999999698</v>
      </c>
      <c r="K86" s="3">
        <v>-124.4</v>
      </c>
      <c r="L86" s="3">
        <v>-109.2</v>
      </c>
      <c r="M86" s="3">
        <v>8.5999999999999908</v>
      </c>
      <c r="N86" s="12">
        <f>Table1[[#This Row],[Tasks Done]]/Table1[[#This Row],[Target]]</f>
        <v>-14.465116279069784</v>
      </c>
      <c r="O86" s="3">
        <v>-151000</v>
      </c>
      <c r="P86" s="12" t="str">
        <f>IF(Table1[[#This Row],[Achieve %]]&gt;0.9,"Yes","No")</f>
        <v>No</v>
      </c>
      <c r="Q86" s="3">
        <v>-45.8</v>
      </c>
      <c r="R86" s="13" t="str">
        <f>IF(Table1[[#This Row],[Perf Score]]&gt;=8,"Top Performer", "Needs Training")</f>
        <v>Needs Training</v>
      </c>
    </row>
    <row r="87" spans="1:18" ht="29.4" thickBot="1" x14ac:dyDescent="0.35">
      <c r="A87" s="3" t="s">
        <v>139</v>
      </c>
      <c r="B87" s="3" t="s">
        <v>14</v>
      </c>
      <c r="C87" s="3" t="s">
        <v>15</v>
      </c>
      <c r="D87" s="3" t="s">
        <v>16</v>
      </c>
      <c r="E87" s="3" t="s">
        <v>17</v>
      </c>
      <c r="F87" s="4">
        <v>46113</v>
      </c>
      <c r="G87" s="3" t="s">
        <v>54</v>
      </c>
      <c r="H87" s="3" t="s">
        <v>19</v>
      </c>
      <c r="I87" s="3">
        <v>-127.4</v>
      </c>
      <c r="J87" s="3">
        <v>0.59999999999999698</v>
      </c>
      <c r="K87" s="3">
        <v>-126</v>
      </c>
      <c r="L87" s="3">
        <v>-110.6</v>
      </c>
      <c r="M87" s="3">
        <v>8.5999999999999908</v>
      </c>
      <c r="N87" s="12">
        <f>Table1[[#This Row],[Tasks Done]]/Table1[[#This Row],[Target]]</f>
        <v>-14.65116279069769</v>
      </c>
      <c r="O87" s="3">
        <v>-153500</v>
      </c>
      <c r="P87" s="12" t="str">
        <f>IF(Table1[[#This Row],[Achieve %]]&gt;0.9,"Yes","No")</f>
        <v>No</v>
      </c>
      <c r="Q87" s="3">
        <v>-46.4</v>
      </c>
      <c r="R87" s="13" t="str">
        <f>IF(Table1[[#This Row],[Perf Score]]&gt;=8,"Top Performer", "Needs Training")</f>
        <v>Needs Training</v>
      </c>
    </row>
    <row r="88" spans="1:18" ht="29.4" thickBot="1" x14ac:dyDescent="0.35">
      <c r="A88" s="3" t="s">
        <v>140</v>
      </c>
      <c r="B88" s="3" t="s">
        <v>21</v>
      </c>
      <c r="C88" s="3" t="s">
        <v>22</v>
      </c>
      <c r="D88" s="3" t="s">
        <v>23</v>
      </c>
      <c r="E88" s="3" t="s">
        <v>24</v>
      </c>
      <c r="F88" s="4">
        <v>46113</v>
      </c>
      <c r="G88" s="3" t="s">
        <v>55</v>
      </c>
      <c r="H88" s="3" t="s">
        <v>25</v>
      </c>
      <c r="I88" s="3">
        <v>-129</v>
      </c>
      <c r="J88" s="3">
        <v>0.59999999999999698</v>
      </c>
      <c r="K88" s="3">
        <v>-127.6</v>
      </c>
      <c r="L88" s="3">
        <v>-112</v>
      </c>
      <c r="M88" s="3">
        <v>8.5999999999999908</v>
      </c>
      <c r="N88" s="12">
        <f>Table1[[#This Row],[Tasks Done]]/Table1[[#This Row],[Target]]</f>
        <v>-14.837209302325597</v>
      </c>
      <c r="O88" s="3">
        <v>-156000</v>
      </c>
      <c r="P88" s="12" t="str">
        <f>IF(Table1[[#This Row],[Achieve %]]&gt;0.9,"Yes","No")</f>
        <v>No</v>
      </c>
      <c r="Q88" s="3">
        <v>-47</v>
      </c>
      <c r="R88" s="13" t="str">
        <f>IF(Table1[[#This Row],[Perf Score]]&gt;=8,"Top Performer", "Needs Training")</f>
        <v>Needs Training</v>
      </c>
    </row>
    <row r="89" spans="1:18" ht="29.4" thickBot="1" x14ac:dyDescent="0.35">
      <c r="A89" s="3" t="s">
        <v>141</v>
      </c>
      <c r="B89" s="3" t="s">
        <v>27</v>
      </c>
      <c r="C89" s="3" t="s">
        <v>28</v>
      </c>
      <c r="D89" s="3" t="s">
        <v>29</v>
      </c>
      <c r="E89" s="3" t="s">
        <v>30</v>
      </c>
      <c r="F89" s="4">
        <v>46113</v>
      </c>
      <c r="G89" s="3" t="s">
        <v>56</v>
      </c>
      <c r="H89" s="3" t="s">
        <v>31</v>
      </c>
      <c r="I89" s="3">
        <v>-130.6</v>
      </c>
      <c r="J89" s="3">
        <v>0.59999999999999698</v>
      </c>
      <c r="K89" s="3">
        <v>-129.19999999999999</v>
      </c>
      <c r="L89" s="3">
        <v>-113.4</v>
      </c>
      <c r="M89" s="3">
        <v>8.5999999999999908</v>
      </c>
      <c r="N89" s="12">
        <f>Table1[[#This Row],[Tasks Done]]/Table1[[#This Row],[Target]]</f>
        <v>-15.023255813953503</v>
      </c>
      <c r="O89" s="3">
        <v>-158500</v>
      </c>
      <c r="P89" s="12" t="str">
        <f>IF(Table1[[#This Row],[Achieve %]]&gt;0.9,"Yes","No")</f>
        <v>No</v>
      </c>
      <c r="Q89" s="3">
        <v>-47.6</v>
      </c>
      <c r="R89" s="13" t="str">
        <f>IF(Table1[[#This Row],[Perf Score]]&gt;=8,"Top Performer", "Needs Training")</f>
        <v>Needs Training</v>
      </c>
    </row>
    <row r="90" spans="1:18" ht="29.4" thickBot="1" x14ac:dyDescent="0.35">
      <c r="A90" s="3" t="s">
        <v>142</v>
      </c>
      <c r="B90" s="3" t="s">
        <v>33</v>
      </c>
      <c r="C90" s="3" t="s">
        <v>15</v>
      </c>
      <c r="D90" s="3" t="s">
        <v>34</v>
      </c>
      <c r="E90" s="3" t="s">
        <v>17</v>
      </c>
      <c r="F90" s="4">
        <v>46113</v>
      </c>
      <c r="G90" s="3" t="s">
        <v>57</v>
      </c>
      <c r="H90" s="3" t="s">
        <v>19</v>
      </c>
      <c r="I90" s="3">
        <v>-132.19999999999999</v>
      </c>
      <c r="J90" s="3">
        <v>0.59999999999999698</v>
      </c>
      <c r="K90" s="3">
        <v>-130.80000000000001</v>
      </c>
      <c r="L90" s="3">
        <v>-114.8</v>
      </c>
      <c r="M90" s="3">
        <v>8.5999999999999908</v>
      </c>
      <c r="N90" s="12">
        <f>Table1[[#This Row],[Tasks Done]]/Table1[[#This Row],[Target]]</f>
        <v>-15.209302325581413</v>
      </c>
      <c r="O90" s="3">
        <v>-161000</v>
      </c>
      <c r="P90" s="12" t="str">
        <f>IF(Table1[[#This Row],[Achieve %]]&gt;0.9,"Yes","No")</f>
        <v>No</v>
      </c>
      <c r="Q90" s="3">
        <v>-48.2</v>
      </c>
      <c r="R90" s="13" t="str">
        <f>IF(Table1[[#This Row],[Perf Score]]&gt;=8,"Top Performer", "Needs Training")</f>
        <v>Needs Training</v>
      </c>
    </row>
    <row r="91" spans="1:18" ht="29.4" thickBot="1" x14ac:dyDescent="0.35">
      <c r="A91" s="3" t="s">
        <v>143</v>
      </c>
      <c r="B91" s="3" t="s">
        <v>36</v>
      </c>
      <c r="C91" s="3" t="s">
        <v>22</v>
      </c>
      <c r="D91" s="3" t="s">
        <v>37</v>
      </c>
      <c r="E91" s="3" t="s">
        <v>24</v>
      </c>
      <c r="F91" s="4">
        <v>46113</v>
      </c>
      <c r="G91" s="3" t="s">
        <v>18</v>
      </c>
      <c r="H91" s="3" t="s">
        <v>38</v>
      </c>
      <c r="I91" s="3">
        <v>-133.80000000000001</v>
      </c>
      <c r="J91" s="3">
        <v>0.59999999999999698</v>
      </c>
      <c r="K91" s="3">
        <v>-132.4</v>
      </c>
      <c r="L91" s="3">
        <v>-116.2</v>
      </c>
      <c r="M91" s="3">
        <v>8.5999999999999908</v>
      </c>
      <c r="N91" s="12">
        <f>Table1[[#This Row],[Tasks Done]]/Table1[[#This Row],[Target]]</f>
        <v>-15.395348837209319</v>
      </c>
      <c r="O91" s="3">
        <v>-163500</v>
      </c>
      <c r="P91" s="12" t="str">
        <f>IF(Table1[[#This Row],[Achieve %]]&gt;0.9,"Yes","No")</f>
        <v>No</v>
      </c>
      <c r="Q91" s="3">
        <v>-48.8</v>
      </c>
      <c r="R91" s="13" t="str">
        <f>IF(Table1[[#This Row],[Perf Score]]&gt;=8,"Top Performer", "Needs Training")</f>
        <v>Needs Training</v>
      </c>
    </row>
    <row r="92" spans="1:18" ht="29.4" thickBot="1" x14ac:dyDescent="0.35">
      <c r="A92" s="3" t="s">
        <v>144</v>
      </c>
      <c r="B92" s="3" t="s">
        <v>14</v>
      </c>
      <c r="C92" s="3" t="s">
        <v>15</v>
      </c>
      <c r="D92" s="3" t="s">
        <v>16</v>
      </c>
      <c r="E92" s="3" t="s">
        <v>17</v>
      </c>
      <c r="F92" s="4">
        <v>46113</v>
      </c>
      <c r="G92" s="3" t="s">
        <v>54</v>
      </c>
      <c r="H92" s="3" t="s">
        <v>19</v>
      </c>
      <c r="I92" s="3">
        <v>-135.4</v>
      </c>
      <c r="J92" s="3">
        <v>0.59999999999999698</v>
      </c>
      <c r="K92" s="3">
        <v>-134</v>
      </c>
      <c r="L92" s="3">
        <v>-117.6</v>
      </c>
      <c r="M92" s="3">
        <v>8.5999999999999908</v>
      </c>
      <c r="N92" s="12">
        <f>Table1[[#This Row],[Tasks Done]]/Table1[[#This Row],[Target]]</f>
        <v>-15.581395348837226</v>
      </c>
      <c r="O92" s="3">
        <v>-166000</v>
      </c>
      <c r="P92" s="12" t="str">
        <f>IF(Table1[[#This Row],[Achieve %]]&gt;0.9,"Yes","No")</f>
        <v>No</v>
      </c>
      <c r="Q92" s="3">
        <v>-49.4</v>
      </c>
      <c r="R92" s="13" t="str">
        <f>IF(Table1[[#This Row],[Perf Score]]&gt;=8,"Top Performer", "Needs Training")</f>
        <v>Needs Training</v>
      </c>
    </row>
    <row r="93" spans="1:18" ht="29.4" thickBot="1" x14ac:dyDescent="0.35">
      <c r="A93" s="3" t="s">
        <v>145</v>
      </c>
      <c r="B93" s="3" t="s">
        <v>21</v>
      </c>
      <c r="C93" s="3" t="s">
        <v>22</v>
      </c>
      <c r="D93" s="3" t="s">
        <v>23</v>
      </c>
      <c r="E93" s="3" t="s">
        <v>24</v>
      </c>
      <c r="F93" s="4">
        <v>46113</v>
      </c>
      <c r="G93" s="3" t="s">
        <v>55</v>
      </c>
      <c r="H93" s="3" t="s">
        <v>25</v>
      </c>
      <c r="I93" s="3">
        <v>-137</v>
      </c>
      <c r="J93" s="3">
        <v>0.59999999999999698</v>
      </c>
      <c r="K93" s="3">
        <v>-135.6</v>
      </c>
      <c r="L93" s="3">
        <v>-119</v>
      </c>
      <c r="M93" s="3">
        <v>8.5999999999999908</v>
      </c>
      <c r="N93" s="12">
        <f>Table1[[#This Row],[Tasks Done]]/Table1[[#This Row],[Target]]</f>
        <v>-15.767441860465132</v>
      </c>
      <c r="O93" s="3">
        <v>-168500</v>
      </c>
      <c r="P93" s="12" t="str">
        <f>IF(Table1[[#This Row],[Achieve %]]&gt;0.9,"Yes","No")</f>
        <v>No</v>
      </c>
      <c r="Q93" s="3">
        <v>-50</v>
      </c>
      <c r="R93" s="13" t="str">
        <f>IF(Table1[[#This Row],[Perf Score]]&gt;=8,"Top Performer", "Needs Training")</f>
        <v>Needs Training</v>
      </c>
    </row>
    <row r="94" spans="1:18" ht="29.4" thickBot="1" x14ac:dyDescent="0.35">
      <c r="A94" s="3" t="s">
        <v>146</v>
      </c>
      <c r="B94" s="3" t="s">
        <v>27</v>
      </c>
      <c r="C94" s="3" t="s">
        <v>28</v>
      </c>
      <c r="D94" s="3" t="s">
        <v>29</v>
      </c>
      <c r="E94" s="3" t="s">
        <v>30</v>
      </c>
      <c r="F94" s="4">
        <v>46113</v>
      </c>
      <c r="G94" s="3" t="s">
        <v>56</v>
      </c>
      <c r="H94" s="3" t="s">
        <v>31</v>
      </c>
      <c r="I94" s="3">
        <v>-138.6</v>
      </c>
      <c r="J94" s="3">
        <v>0.59999999999999698</v>
      </c>
      <c r="K94" s="3">
        <v>-137.19999999999999</v>
      </c>
      <c r="L94" s="3">
        <v>-120.4</v>
      </c>
      <c r="M94" s="3">
        <v>8.5999999999999908</v>
      </c>
      <c r="N94" s="12">
        <f>Table1[[#This Row],[Tasks Done]]/Table1[[#This Row],[Target]]</f>
        <v>-15.953488372093039</v>
      </c>
      <c r="O94" s="3">
        <v>-171000</v>
      </c>
      <c r="P94" s="12" t="str">
        <f>IF(Table1[[#This Row],[Achieve %]]&gt;0.9,"Yes","No")</f>
        <v>No</v>
      </c>
      <c r="Q94" s="3">
        <v>-50.6</v>
      </c>
      <c r="R94" s="13" t="str">
        <f>IF(Table1[[#This Row],[Perf Score]]&gt;=8,"Top Performer", "Needs Training")</f>
        <v>Needs Training</v>
      </c>
    </row>
    <row r="95" spans="1:18" ht="29.4" thickBot="1" x14ac:dyDescent="0.35">
      <c r="A95" s="3" t="s">
        <v>147</v>
      </c>
      <c r="B95" s="3" t="s">
        <v>33</v>
      </c>
      <c r="C95" s="3" t="s">
        <v>15</v>
      </c>
      <c r="D95" s="3" t="s">
        <v>34</v>
      </c>
      <c r="E95" s="3" t="s">
        <v>17</v>
      </c>
      <c r="F95" s="4">
        <v>46113</v>
      </c>
      <c r="G95" s="3" t="s">
        <v>57</v>
      </c>
      <c r="H95" s="3" t="s">
        <v>19</v>
      </c>
      <c r="I95" s="3">
        <v>-140.19999999999999</v>
      </c>
      <c r="J95" s="3">
        <v>0.59999999999999698</v>
      </c>
      <c r="K95" s="3">
        <v>-138.80000000000001</v>
      </c>
      <c r="L95" s="3">
        <v>-121.8</v>
      </c>
      <c r="M95" s="3">
        <v>8.5999999999999908</v>
      </c>
      <c r="N95" s="12">
        <f>Table1[[#This Row],[Tasks Done]]/Table1[[#This Row],[Target]]</f>
        <v>-16.139534883720948</v>
      </c>
      <c r="O95" s="3">
        <v>-173500</v>
      </c>
      <c r="P95" s="12" t="str">
        <f>IF(Table1[[#This Row],[Achieve %]]&gt;0.9,"Yes","No")</f>
        <v>No</v>
      </c>
      <c r="Q95" s="3">
        <v>-51.2</v>
      </c>
      <c r="R95" s="13" t="str">
        <f>IF(Table1[[#This Row],[Perf Score]]&gt;=8,"Top Performer", "Needs Training")</f>
        <v>Needs Training</v>
      </c>
    </row>
    <row r="96" spans="1:18" ht="29.4" thickBot="1" x14ac:dyDescent="0.35">
      <c r="A96" s="3" t="s">
        <v>148</v>
      </c>
      <c r="B96" s="3" t="s">
        <v>36</v>
      </c>
      <c r="C96" s="3" t="s">
        <v>22</v>
      </c>
      <c r="D96" s="3" t="s">
        <v>37</v>
      </c>
      <c r="E96" s="3" t="s">
        <v>24</v>
      </c>
      <c r="F96" s="4">
        <v>46113</v>
      </c>
      <c r="G96" s="3" t="s">
        <v>18</v>
      </c>
      <c r="H96" s="3" t="s">
        <v>38</v>
      </c>
      <c r="I96" s="3">
        <v>-141.80000000000001</v>
      </c>
      <c r="J96" s="3">
        <v>0.59999999999999698</v>
      </c>
      <c r="K96" s="3">
        <v>-140.4</v>
      </c>
      <c r="L96" s="3">
        <v>-123.2</v>
      </c>
      <c r="M96" s="3">
        <v>8.5999999999999908</v>
      </c>
      <c r="N96" s="12">
        <f>Table1[[#This Row],[Tasks Done]]/Table1[[#This Row],[Target]]</f>
        <v>-16.325581395348856</v>
      </c>
      <c r="O96" s="3">
        <v>-176000</v>
      </c>
      <c r="P96" s="12" t="str">
        <f>IF(Table1[[#This Row],[Achieve %]]&gt;0.9,"Yes","No")</f>
        <v>No</v>
      </c>
      <c r="Q96" s="3">
        <v>-51.8</v>
      </c>
      <c r="R96" s="13" t="str">
        <f>IF(Table1[[#This Row],[Perf Score]]&gt;=8,"Top Performer", "Needs Training")</f>
        <v>Needs Training</v>
      </c>
    </row>
    <row r="97" spans="1:18" ht="29.4" thickBot="1" x14ac:dyDescent="0.35">
      <c r="A97" s="3" t="s">
        <v>149</v>
      </c>
      <c r="B97" s="3" t="s">
        <v>14</v>
      </c>
      <c r="C97" s="3" t="s">
        <v>15</v>
      </c>
      <c r="D97" s="3" t="s">
        <v>16</v>
      </c>
      <c r="E97" s="3" t="s">
        <v>17</v>
      </c>
      <c r="F97" s="4">
        <v>46113</v>
      </c>
      <c r="G97" s="3" t="s">
        <v>54</v>
      </c>
      <c r="H97" s="3" t="s">
        <v>19</v>
      </c>
      <c r="I97" s="3">
        <v>-143.4</v>
      </c>
      <c r="J97" s="3">
        <v>0.59999999999999698</v>
      </c>
      <c r="K97" s="3">
        <v>-142</v>
      </c>
      <c r="L97" s="3">
        <v>-124.6</v>
      </c>
      <c r="M97" s="3">
        <v>8.5999999999999908</v>
      </c>
      <c r="N97" s="12">
        <f>Table1[[#This Row],[Tasks Done]]/Table1[[#This Row],[Target]]</f>
        <v>-16.511627906976763</v>
      </c>
      <c r="O97" s="3">
        <v>-178500</v>
      </c>
      <c r="P97" s="12" t="str">
        <f>IF(Table1[[#This Row],[Achieve %]]&gt;0.9,"Yes","No")</f>
        <v>No</v>
      </c>
      <c r="Q97" s="3">
        <v>-52.4</v>
      </c>
      <c r="R97" s="13" t="str">
        <f>IF(Table1[[#This Row],[Perf Score]]&gt;=8,"Top Performer", "Needs Training")</f>
        <v>Needs Training</v>
      </c>
    </row>
    <row r="98" spans="1:18" ht="29.4" thickBot="1" x14ac:dyDescent="0.35">
      <c r="A98" s="3" t="s">
        <v>150</v>
      </c>
      <c r="B98" s="3" t="s">
        <v>21</v>
      </c>
      <c r="C98" s="3" t="s">
        <v>22</v>
      </c>
      <c r="D98" s="3" t="s">
        <v>23</v>
      </c>
      <c r="E98" s="3" t="s">
        <v>24</v>
      </c>
      <c r="F98" s="4">
        <v>46113</v>
      </c>
      <c r="G98" s="3" t="s">
        <v>55</v>
      </c>
      <c r="H98" s="3" t="s">
        <v>25</v>
      </c>
      <c r="I98" s="3">
        <v>-145</v>
      </c>
      <c r="J98" s="3">
        <v>0.59999999999999698</v>
      </c>
      <c r="K98" s="3">
        <v>-143.6</v>
      </c>
      <c r="L98" s="3">
        <v>-126</v>
      </c>
      <c r="M98" s="3">
        <v>8.5999999999999908</v>
      </c>
      <c r="N98" s="12">
        <f>Table1[[#This Row],[Tasks Done]]/Table1[[#This Row],[Target]]</f>
        <v>-16.69767441860467</v>
      </c>
      <c r="O98" s="3">
        <v>-181000</v>
      </c>
      <c r="P98" s="12" t="str">
        <f>IF(Table1[[#This Row],[Achieve %]]&gt;0.9,"Yes","No")</f>
        <v>No</v>
      </c>
      <c r="Q98" s="3">
        <v>-53</v>
      </c>
      <c r="R98" s="13" t="str">
        <f>IF(Table1[[#This Row],[Perf Score]]&gt;=8,"Top Performer", "Needs Training")</f>
        <v>Needs Training</v>
      </c>
    </row>
    <row r="99" spans="1:18" ht="29.4" thickBot="1" x14ac:dyDescent="0.35">
      <c r="A99" s="3" t="s">
        <v>151</v>
      </c>
      <c r="B99" s="3" t="s">
        <v>27</v>
      </c>
      <c r="C99" s="3" t="s">
        <v>28</v>
      </c>
      <c r="D99" s="3" t="s">
        <v>29</v>
      </c>
      <c r="E99" s="3" t="s">
        <v>30</v>
      </c>
      <c r="F99" s="4">
        <v>46113</v>
      </c>
      <c r="G99" s="3" t="s">
        <v>56</v>
      </c>
      <c r="H99" s="3" t="s">
        <v>31</v>
      </c>
      <c r="I99" s="3">
        <v>-146.6</v>
      </c>
      <c r="J99" s="3">
        <v>0.59999999999999698</v>
      </c>
      <c r="K99" s="3">
        <v>-145.19999999999999</v>
      </c>
      <c r="L99" s="3">
        <v>-127.4</v>
      </c>
      <c r="M99" s="3">
        <v>8.5999999999999908</v>
      </c>
      <c r="N99" s="12">
        <f>Table1[[#This Row],[Tasks Done]]/Table1[[#This Row],[Target]]</f>
        <v>-16.883720930232574</v>
      </c>
      <c r="O99" s="3">
        <v>-183500</v>
      </c>
      <c r="P99" s="12" t="str">
        <f>IF(Table1[[#This Row],[Achieve %]]&gt;0.9,"Yes","No")</f>
        <v>No</v>
      </c>
      <c r="Q99" s="3">
        <v>-53.6</v>
      </c>
      <c r="R99" s="13" t="str">
        <f>IF(Table1[[#This Row],[Perf Score]]&gt;=8,"Top Performer", "Needs Training")</f>
        <v>Needs Training</v>
      </c>
    </row>
    <row r="100" spans="1:18" ht="29.4" thickBot="1" x14ac:dyDescent="0.35">
      <c r="A100" s="3" t="s">
        <v>152</v>
      </c>
      <c r="B100" s="3" t="s">
        <v>33</v>
      </c>
      <c r="C100" s="3" t="s">
        <v>15</v>
      </c>
      <c r="D100" s="3" t="s">
        <v>34</v>
      </c>
      <c r="E100" s="3" t="s">
        <v>17</v>
      </c>
      <c r="F100" s="4">
        <v>46113</v>
      </c>
      <c r="G100" s="3" t="s">
        <v>57</v>
      </c>
      <c r="H100" s="3" t="s">
        <v>19</v>
      </c>
      <c r="I100" s="3">
        <v>-148.19999999999999</v>
      </c>
      <c r="J100" s="3">
        <v>0.59999999999999698</v>
      </c>
      <c r="K100" s="3">
        <v>-146.80000000000001</v>
      </c>
      <c r="L100" s="3">
        <v>-128.80000000000001</v>
      </c>
      <c r="M100" s="3">
        <v>8.5999999999999908</v>
      </c>
      <c r="N100" s="12">
        <f>Table1[[#This Row],[Tasks Done]]/Table1[[#This Row],[Target]]</f>
        <v>-17.069767441860485</v>
      </c>
      <c r="O100" s="3">
        <v>-186000</v>
      </c>
      <c r="P100" s="12" t="str">
        <f>IF(Table1[[#This Row],[Achieve %]]&gt;0.9,"Yes","No")</f>
        <v>No</v>
      </c>
      <c r="Q100" s="3">
        <v>-54.2</v>
      </c>
      <c r="R100" s="13" t="str">
        <f>IF(Table1[[#This Row],[Perf Score]]&gt;=8,"Top Performer", "Needs Training")</f>
        <v>Needs Training</v>
      </c>
    </row>
    <row r="101" spans="1:18" ht="29.4" thickBot="1" x14ac:dyDescent="0.35">
      <c r="A101" s="3" t="s">
        <v>153</v>
      </c>
      <c r="B101" s="3" t="s">
        <v>36</v>
      </c>
      <c r="C101" s="3" t="s">
        <v>22</v>
      </c>
      <c r="D101" s="3" t="s">
        <v>37</v>
      </c>
      <c r="E101" s="3" t="s">
        <v>24</v>
      </c>
      <c r="F101" s="4">
        <v>46113</v>
      </c>
      <c r="G101" s="3" t="s">
        <v>18</v>
      </c>
      <c r="H101" s="3" t="s">
        <v>38</v>
      </c>
      <c r="I101" s="3">
        <v>-149.80000000000001</v>
      </c>
      <c r="J101" s="3">
        <v>0.59999999999999698</v>
      </c>
      <c r="K101" s="3">
        <v>-148.4</v>
      </c>
      <c r="L101" s="3">
        <v>-130.19999999999999</v>
      </c>
      <c r="M101" s="3">
        <v>8.5999999999999908</v>
      </c>
      <c r="N101" s="12">
        <f>Table1[[#This Row],[Tasks Done]]/Table1[[#This Row],[Target]]</f>
        <v>-17.255813953488392</v>
      </c>
      <c r="O101" s="3">
        <v>-188500</v>
      </c>
      <c r="P101" s="12" t="str">
        <f>IF(Table1[[#This Row],[Achieve %]]&gt;0.9,"Yes","No")</f>
        <v>No</v>
      </c>
      <c r="Q101" s="3">
        <v>-54.8</v>
      </c>
      <c r="R101" s="13" t="str">
        <f>IF(Table1[[#This Row],[Perf Score]]&gt;=8,"Top Performer", "Needs Training")</f>
        <v>Needs Training</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136B8-54B0-4232-80D3-F535E923EBB7}">
  <dimension ref="A1:F21"/>
  <sheetViews>
    <sheetView workbookViewId="0">
      <selection activeCell="F7" sqref="F7"/>
    </sheetView>
  </sheetViews>
  <sheetFormatPr defaultRowHeight="14.4" x14ac:dyDescent="0.3"/>
  <cols>
    <col min="1" max="1" width="17.109375" bestFit="1" customWidth="1"/>
    <col min="2" max="3" width="14.88671875" bestFit="1" customWidth="1"/>
    <col min="4" max="4" width="11.77734375" bestFit="1" customWidth="1"/>
    <col min="5" max="6" width="16.109375" bestFit="1" customWidth="1"/>
  </cols>
  <sheetData>
    <row r="1" spans="1:6" x14ac:dyDescent="0.3">
      <c r="A1" s="17" t="s">
        <v>52</v>
      </c>
      <c r="B1" t="s">
        <v>47</v>
      </c>
      <c r="F1">
        <f>GETPIVOTDATA("Count of Emp ID",Processing!$A$16)</f>
        <v>100</v>
      </c>
    </row>
    <row r="2" spans="1:6" x14ac:dyDescent="0.3">
      <c r="A2" s="18" t="s">
        <v>28</v>
      </c>
      <c r="B2" s="22">
        <v>-61.129999999999995</v>
      </c>
      <c r="F2">
        <f>GETPIVOTDATA("Perf Score",Processing!$A$1)</f>
        <v>-60.900000000000055</v>
      </c>
    </row>
    <row r="3" spans="1:6" x14ac:dyDescent="0.3">
      <c r="A3" s="18" t="s">
        <v>22</v>
      </c>
      <c r="B3" s="22">
        <v>-61.595000000000006</v>
      </c>
      <c r="F3">
        <f>GETPIVOTDATA("Status",Processing!$A$8)</f>
        <v>100</v>
      </c>
    </row>
    <row r="4" spans="1:6" x14ac:dyDescent="0.3">
      <c r="A4" s="18" t="s">
        <v>15</v>
      </c>
      <c r="B4" s="22">
        <v>-60.089999999999989</v>
      </c>
      <c r="F4">
        <f>GETPIVOTDATA("Tasks Done",Processing!$D$17)</f>
        <v>-69.200000000000031</v>
      </c>
    </row>
    <row r="5" spans="1:6" x14ac:dyDescent="0.3">
      <c r="A5" s="18" t="s">
        <v>45</v>
      </c>
      <c r="B5" s="22">
        <v>-60.900000000000055</v>
      </c>
    </row>
    <row r="8" spans="1:6" x14ac:dyDescent="0.3">
      <c r="A8" s="17" t="s">
        <v>53</v>
      </c>
      <c r="B8" t="s">
        <v>154</v>
      </c>
    </row>
    <row r="9" spans="1:6" x14ac:dyDescent="0.3">
      <c r="A9" s="18" t="s">
        <v>38</v>
      </c>
      <c r="B9" s="22">
        <v>21</v>
      </c>
    </row>
    <row r="10" spans="1:6" x14ac:dyDescent="0.3">
      <c r="A10" s="18" t="s">
        <v>31</v>
      </c>
      <c r="B10" s="22">
        <v>20</v>
      </c>
    </row>
    <row r="11" spans="1:6" x14ac:dyDescent="0.3">
      <c r="A11" s="18" t="s">
        <v>19</v>
      </c>
      <c r="B11" s="22">
        <v>39</v>
      </c>
      <c r="D11" s="17" t="s">
        <v>58</v>
      </c>
      <c r="E11" t="s">
        <v>46</v>
      </c>
    </row>
    <row r="12" spans="1:6" x14ac:dyDescent="0.3">
      <c r="A12" s="18" t="s">
        <v>25</v>
      </c>
      <c r="B12" s="22">
        <v>20</v>
      </c>
      <c r="D12" s="18" t="s">
        <v>28</v>
      </c>
      <c r="E12" s="22">
        <v>-1222.5999999999999</v>
      </c>
    </row>
    <row r="13" spans="1:6" x14ac:dyDescent="0.3">
      <c r="A13" s="18" t="s">
        <v>45</v>
      </c>
      <c r="B13" s="22">
        <v>100</v>
      </c>
      <c r="D13" s="18" t="s">
        <v>22</v>
      </c>
      <c r="E13" s="22">
        <v>-2463.8000000000002</v>
      </c>
    </row>
    <row r="14" spans="1:6" x14ac:dyDescent="0.3">
      <c r="D14" s="18" t="s">
        <v>15</v>
      </c>
      <c r="E14" s="22">
        <v>-2403.5999999999995</v>
      </c>
    </row>
    <row r="15" spans="1:6" x14ac:dyDescent="0.3">
      <c r="D15" s="18" t="s">
        <v>45</v>
      </c>
      <c r="E15" s="22">
        <v>-6090</v>
      </c>
    </row>
    <row r="16" spans="1:6" x14ac:dyDescent="0.3">
      <c r="A16" s="17" t="s">
        <v>51</v>
      </c>
      <c r="B16" t="s">
        <v>50</v>
      </c>
    </row>
    <row r="17" spans="1:5" x14ac:dyDescent="0.3">
      <c r="A17" s="18" t="s">
        <v>28</v>
      </c>
      <c r="B17" s="22">
        <v>20</v>
      </c>
      <c r="D17" s="17" t="s">
        <v>58</v>
      </c>
      <c r="E17" t="s">
        <v>48</v>
      </c>
    </row>
    <row r="18" spans="1:5" x14ac:dyDescent="0.3">
      <c r="A18" s="18" t="s">
        <v>22</v>
      </c>
      <c r="B18" s="22">
        <v>40</v>
      </c>
      <c r="D18" s="18" t="s">
        <v>28</v>
      </c>
      <c r="E18" s="22">
        <v>-69.540000000000006</v>
      </c>
    </row>
    <row r="19" spans="1:5" x14ac:dyDescent="0.3">
      <c r="A19" s="18" t="s">
        <v>15</v>
      </c>
      <c r="B19" s="22">
        <v>40</v>
      </c>
      <c r="D19" s="18" t="s">
        <v>22</v>
      </c>
      <c r="E19" s="22">
        <v>-70.125</v>
      </c>
    </row>
    <row r="20" spans="1:5" x14ac:dyDescent="0.3">
      <c r="A20" s="18" t="s">
        <v>45</v>
      </c>
      <c r="B20" s="22">
        <v>100</v>
      </c>
      <c r="D20" s="18" t="s">
        <v>15</v>
      </c>
      <c r="E20" s="22">
        <v>-68.105000000000004</v>
      </c>
    </row>
    <row r="21" spans="1:5" x14ac:dyDescent="0.3">
      <c r="D21" s="18" t="s">
        <v>45</v>
      </c>
      <c r="E21" s="22">
        <v>-69.200000000000031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1F3B-4B20-4243-A520-74CF587D5883}">
  <dimension ref="A1:AG185"/>
  <sheetViews>
    <sheetView showGridLines="0" tabSelected="1" zoomScale="70" workbookViewId="0">
      <selection activeCell="AF12" sqref="AF12"/>
    </sheetView>
  </sheetViews>
  <sheetFormatPr defaultRowHeight="14.4" x14ac:dyDescent="0.3"/>
  <sheetData>
    <row r="1" spans="1:33" s="19" customFormat="1" ht="25.8" customHeight="1" x14ac:dyDescent="0.3">
      <c r="A1" s="21" t="s">
        <v>49</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row>
    <row r="2" spans="1:33" s="19" customFormat="1" ht="14.4"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row>
    <row r="3" spans="1:33" s="19" customFormat="1" ht="14.4" customHeight="1"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row>
    <row r="4" spans="1:33" s="20" customFormat="1" x14ac:dyDescent="0.3"/>
    <row r="5" spans="1:33" s="20" customFormat="1" x14ac:dyDescent="0.3"/>
    <row r="6" spans="1:33" s="20" customFormat="1" x14ac:dyDescent="0.3"/>
    <row r="7" spans="1:33" s="20" customFormat="1" x14ac:dyDescent="0.3"/>
    <row r="8" spans="1:33" s="20" customFormat="1" x14ac:dyDescent="0.3"/>
    <row r="9" spans="1:33" s="20" customFormat="1" x14ac:dyDescent="0.3"/>
    <row r="10" spans="1:33" s="20" customFormat="1" x14ac:dyDescent="0.3"/>
    <row r="11" spans="1:33" s="20" customFormat="1" x14ac:dyDescent="0.3"/>
    <row r="12" spans="1:33" s="20" customFormat="1" x14ac:dyDescent="0.3"/>
    <row r="13" spans="1:33" s="20" customFormat="1" x14ac:dyDescent="0.3"/>
    <row r="14" spans="1:33" s="20" customFormat="1" x14ac:dyDescent="0.3"/>
    <row r="15" spans="1:33" s="20" customFormat="1" x14ac:dyDescent="0.3"/>
    <row r="16" spans="1:33" s="20" customFormat="1" x14ac:dyDescent="0.3"/>
    <row r="17" s="20" customFormat="1" x14ac:dyDescent="0.3"/>
    <row r="18" s="20" customFormat="1" x14ac:dyDescent="0.3"/>
    <row r="19" s="20" customFormat="1" x14ac:dyDescent="0.3"/>
    <row r="20" s="20" customFormat="1" x14ac:dyDescent="0.3"/>
    <row r="21" s="20" customFormat="1" x14ac:dyDescent="0.3"/>
    <row r="22" s="20" customFormat="1" x14ac:dyDescent="0.3"/>
    <row r="23" s="20" customFormat="1" x14ac:dyDescent="0.3"/>
    <row r="24" s="20" customFormat="1" x14ac:dyDescent="0.3"/>
    <row r="25" s="20" customFormat="1" x14ac:dyDescent="0.3"/>
    <row r="26" s="20" customFormat="1" x14ac:dyDescent="0.3"/>
    <row r="27" s="20" customFormat="1" x14ac:dyDescent="0.3"/>
    <row r="28" s="20" customFormat="1" x14ac:dyDescent="0.3"/>
    <row r="29" s="20" customFormat="1" x14ac:dyDescent="0.3"/>
    <row r="30" s="20" customFormat="1" x14ac:dyDescent="0.3"/>
    <row r="31" s="20" customFormat="1" x14ac:dyDescent="0.3"/>
    <row r="32" s="20" customFormat="1" x14ac:dyDescent="0.3"/>
    <row r="33" s="20" customFormat="1" x14ac:dyDescent="0.3"/>
    <row r="34" s="20" customFormat="1" x14ac:dyDescent="0.3"/>
    <row r="35" s="20" customFormat="1" x14ac:dyDescent="0.3"/>
    <row r="36" s="20" customFormat="1" x14ac:dyDescent="0.3"/>
    <row r="37" s="20" customFormat="1" x14ac:dyDescent="0.3"/>
    <row r="38" s="20" customFormat="1" x14ac:dyDescent="0.3"/>
    <row r="39" s="20" customFormat="1" x14ac:dyDescent="0.3"/>
    <row r="40" s="20" customFormat="1" x14ac:dyDescent="0.3"/>
    <row r="41" s="20" customFormat="1" x14ac:dyDescent="0.3"/>
    <row r="42" s="20" customFormat="1" x14ac:dyDescent="0.3"/>
    <row r="43" s="20" customFormat="1" x14ac:dyDescent="0.3"/>
    <row r="44" s="20" customFormat="1" x14ac:dyDescent="0.3"/>
    <row r="45" s="20" customFormat="1" x14ac:dyDescent="0.3"/>
    <row r="46" s="20" customFormat="1" x14ac:dyDescent="0.3"/>
    <row r="47" s="20" customFormat="1" x14ac:dyDescent="0.3"/>
    <row r="48" s="20" customFormat="1" x14ac:dyDescent="0.3"/>
    <row r="49" s="20" customFormat="1" x14ac:dyDescent="0.3"/>
    <row r="50" s="20" customFormat="1" x14ac:dyDescent="0.3"/>
    <row r="51" s="20" customFormat="1" x14ac:dyDescent="0.3"/>
    <row r="52" s="20" customFormat="1" x14ac:dyDescent="0.3"/>
    <row r="53" s="20" customFormat="1" x14ac:dyDescent="0.3"/>
    <row r="54" s="20" customFormat="1" x14ac:dyDescent="0.3"/>
    <row r="55" s="20" customFormat="1" x14ac:dyDescent="0.3"/>
    <row r="56" s="20" customFormat="1" x14ac:dyDescent="0.3"/>
    <row r="57" s="20" customFormat="1" x14ac:dyDescent="0.3"/>
    <row r="58" s="20" customFormat="1" x14ac:dyDescent="0.3"/>
    <row r="59" s="20" customFormat="1" x14ac:dyDescent="0.3"/>
    <row r="60" s="20" customFormat="1" x14ac:dyDescent="0.3"/>
    <row r="61" s="20" customFormat="1" x14ac:dyDescent="0.3"/>
    <row r="62" s="20" customFormat="1" x14ac:dyDescent="0.3"/>
    <row r="63" s="20" customFormat="1" x14ac:dyDescent="0.3"/>
    <row r="64" s="20" customFormat="1" x14ac:dyDescent="0.3"/>
    <row r="65" s="20" customFormat="1" x14ac:dyDescent="0.3"/>
    <row r="66" s="20" customFormat="1" x14ac:dyDescent="0.3"/>
    <row r="67" s="20" customFormat="1" x14ac:dyDescent="0.3"/>
    <row r="68" s="20" customFormat="1" x14ac:dyDescent="0.3"/>
    <row r="69" s="20" customFormat="1" x14ac:dyDescent="0.3"/>
    <row r="70" s="20" customFormat="1" x14ac:dyDescent="0.3"/>
    <row r="71" s="20" customFormat="1" x14ac:dyDescent="0.3"/>
    <row r="72" s="20" customFormat="1" x14ac:dyDescent="0.3"/>
    <row r="73" s="20" customFormat="1" x14ac:dyDescent="0.3"/>
    <row r="74" s="20" customFormat="1" x14ac:dyDescent="0.3"/>
    <row r="75" s="20" customFormat="1" x14ac:dyDescent="0.3"/>
    <row r="76" s="20" customFormat="1" x14ac:dyDescent="0.3"/>
    <row r="77" s="20" customFormat="1" x14ac:dyDescent="0.3"/>
    <row r="78" s="20" customFormat="1" x14ac:dyDescent="0.3"/>
    <row r="79" s="20" customFormat="1" x14ac:dyDescent="0.3"/>
    <row r="80" s="20" customFormat="1" x14ac:dyDescent="0.3"/>
    <row r="81" s="20" customFormat="1" x14ac:dyDescent="0.3"/>
    <row r="82" s="20" customFormat="1" x14ac:dyDescent="0.3"/>
    <row r="83" s="20" customFormat="1" x14ac:dyDescent="0.3"/>
    <row r="84" s="20" customFormat="1" x14ac:dyDescent="0.3"/>
    <row r="85" s="20" customFormat="1" x14ac:dyDescent="0.3"/>
    <row r="86" s="20" customFormat="1" x14ac:dyDescent="0.3"/>
    <row r="87" s="20" customFormat="1" x14ac:dyDescent="0.3"/>
    <row r="88" s="20" customFormat="1" x14ac:dyDescent="0.3"/>
    <row r="89" s="20" customFormat="1" x14ac:dyDescent="0.3"/>
    <row r="90" s="20" customFormat="1" x14ac:dyDescent="0.3"/>
    <row r="91" s="20" customFormat="1" x14ac:dyDescent="0.3"/>
    <row r="92" s="20" customFormat="1" x14ac:dyDescent="0.3"/>
    <row r="93" s="20" customFormat="1" x14ac:dyDescent="0.3"/>
    <row r="94" s="20" customFormat="1" x14ac:dyDescent="0.3"/>
    <row r="95" s="20" customFormat="1" x14ac:dyDescent="0.3"/>
    <row r="96" s="20" customFormat="1" x14ac:dyDescent="0.3"/>
    <row r="97" s="20" customFormat="1" x14ac:dyDescent="0.3"/>
    <row r="98" s="20" customFormat="1" x14ac:dyDescent="0.3"/>
    <row r="99" s="20" customFormat="1" x14ac:dyDescent="0.3"/>
    <row r="100" s="20" customFormat="1" x14ac:dyDescent="0.3"/>
    <row r="101" s="20" customFormat="1" x14ac:dyDescent="0.3"/>
    <row r="102" s="20" customFormat="1" x14ac:dyDescent="0.3"/>
    <row r="103" s="20" customFormat="1" x14ac:dyDescent="0.3"/>
    <row r="104" s="20" customFormat="1" x14ac:dyDescent="0.3"/>
    <row r="105" s="20" customFormat="1" x14ac:dyDescent="0.3"/>
    <row r="106" s="20" customFormat="1" x14ac:dyDescent="0.3"/>
    <row r="107" s="20" customFormat="1" x14ac:dyDescent="0.3"/>
    <row r="108" s="20" customFormat="1" x14ac:dyDescent="0.3"/>
    <row r="109" s="20" customFormat="1" x14ac:dyDescent="0.3"/>
    <row r="110" s="20" customFormat="1" x14ac:dyDescent="0.3"/>
    <row r="111" s="20" customFormat="1" x14ac:dyDescent="0.3"/>
    <row r="112" s="20" customFormat="1" x14ac:dyDescent="0.3"/>
    <row r="113" s="20" customFormat="1" x14ac:dyDescent="0.3"/>
    <row r="114" s="20" customFormat="1" x14ac:dyDescent="0.3"/>
    <row r="115" s="20" customFormat="1" x14ac:dyDescent="0.3"/>
    <row r="116" s="20" customFormat="1" x14ac:dyDescent="0.3"/>
    <row r="117" s="20" customFormat="1" x14ac:dyDescent="0.3"/>
    <row r="118" s="20" customFormat="1" x14ac:dyDescent="0.3"/>
    <row r="119" s="20" customFormat="1" x14ac:dyDescent="0.3"/>
    <row r="120" s="20" customFormat="1" x14ac:dyDescent="0.3"/>
    <row r="121" s="20" customFormat="1" x14ac:dyDescent="0.3"/>
    <row r="122" s="20" customFormat="1" x14ac:dyDescent="0.3"/>
    <row r="123" s="20" customFormat="1" x14ac:dyDescent="0.3"/>
    <row r="124" s="20" customFormat="1" x14ac:dyDescent="0.3"/>
    <row r="125" s="20" customFormat="1" x14ac:dyDescent="0.3"/>
    <row r="126" s="20" customFormat="1" x14ac:dyDescent="0.3"/>
    <row r="127" s="20" customFormat="1" x14ac:dyDescent="0.3"/>
    <row r="128" s="20" customFormat="1" x14ac:dyDescent="0.3"/>
    <row r="129" s="20" customFormat="1" x14ac:dyDescent="0.3"/>
    <row r="130" s="20" customFormat="1" x14ac:dyDescent="0.3"/>
    <row r="131" s="20" customFormat="1" x14ac:dyDescent="0.3"/>
    <row r="132" s="20" customFormat="1" x14ac:dyDescent="0.3"/>
    <row r="133" s="20" customFormat="1" x14ac:dyDescent="0.3"/>
    <row r="134" s="20" customFormat="1" x14ac:dyDescent="0.3"/>
    <row r="135" s="20" customFormat="1" x14ac:dyDescent="0.3"/>
    <row r="136" s="20" customFormat="1" x14ac:dyDescent="0.3"/>
    <row r="137" s="20" customFormat="1" x14ac:dyDescent="0.3"/>
    <row r="138" s="20" customFormat="1" x14ac:dyDescent="0.3"/>
    <row r="139" s="20" customFormat="1" x14ac:dyDescent="0.3"/>
    <row r="140" s="20" customFormat="1" x14ac:dyDescent="0.3"/>
    <row r="141" s="20" customFormat="1" x14ac:dyDescent="0.3"/>
    <row r="142" s="20" customFormat="1" x14ac:dyDescent="0.3"/>
    <row r="143" s="20" customFormat="1" x14ac:dyDescent="0.3"/>
    <row r="144" s="20" customFormat="1" x14ac:dyDescent="0.3"/>
    <row r="145" s="20" customFormat="1" x14ac:dyDescent="0.3"/>
    <row r="146" s="20" customFormat="1" x14ac:dyDescent="0.3"/>
    <row r="147" s="20" customFormat="1" x14ac:dyDescent="0.3"/>
    <row r="148" s="20" customFormat="1" x14ac:dyDescent="0.3"/>
    <row r="149" s="20" customFormat="1" x14ac:dyDescent="0.3"/>
    <row r="150" s="20" customFormat="1" x14ac:dyDescent="0.3"/>
    <row r="151" s="20" customFormat="1" x14ac:dyDescent="0.3"/>
    <row r="152" s="20" customFormat="1" x14ac:dyDescent="0.3"/>
    <row r="153" s="20" customFormat="1" x14ac:dyDescent="0.3"/>
    <row r="154" s="20" customFormat="1" x14ac:dyDescent="0.3"/>
    <row r="155" s="20" customFormat="1" x14ac:dyDescent="0.3"/>
    <row r="156" s="20" customFormat="1" x14ac:dyDescent="0.3"/>
    <row r="157" s="20" customFormat="1" x14ac:dyDescent="0.3"/>
    <row r="158" s="20" customFormat="1" x14ac:dyDescent="0.3"/>
    <row r="159" s="20" customFormat="1" x14ac:dyDescent="0.3"/>
    <row r="160" s="20" customFormat="1" x14ac:dyDescent="0.3"/>
    <row r="161" s="20" customFormat="1" x14ac:dyDescent="0.3"/>
    <row r="162" s="20" customFormat="1" x14ac:dyDescent="0.3"/>
    <row r="163" s="20" customFormat="1" x14ac:dyDescent="0.3"/>
    <row r="164" s="20" customFormat="1" x14ac:dyDescent="0.3"/>
    <row r="165" s="20" customFormat="1" x14ac:dyDescent="0.3"/>
    <row r="166" s="20" customFormat="1" x14ac:dyDescent="0.3"/>
    <row r="167" s="20" customFormat="1" x14ac:dyDescent="0.3"/>
    <row r="168" s="20" customFormat="1" x14ac:dyDescent="0.3"/>
    <row r="169" s="20" customFormat="1" x14ac:dyDescent="0.3"/>
    <row r="170" s="20" customFormat="1" x14ac:dyDescent="0.3"/>
    <row r="171" s="20" customFormat="1" x14ac:dyDescent="0.3"/>
    <row r="172" s="20" customFormat="1" x14ac:dyDescent="0.3"/>
    <row r="173" s="20" customFormat="1" x14ac:dyDescent="0.3"/>
    <row r="174" s="20" customFormat="1" x14ac:dyDescent="0.3"/>
    <row r="175" s="20" customFormat="1" x14ac:dyDescent="0.3"/>
    <row r="176" s="20" customFormat="1" x14ac:dyDescent="0.3"/>
    <row r="177" s="20" customFormat="1" x14ac:dyDescent="0.3"/>
    <row r="178" s="20" customFormat="1" x14ac:dyDescent="0.3"/>
    <row r="179" s="20" customFormat="1" x14ac:dyDescent="0.3"/>
    <row r="180" s="20" customFormat="1" x14ac:dyDescent="0.3"/>
    <row r="181" s="20" customFormat="1" x14ac:dyDescent="0.3"/>
    <row r="182" s="20" customFormat="1" x14ac:dyDescent="0.3"/>
    <row r="183" s="20" customFormat="1" x14ac:dyDescent="0.3"/>
    <row r="184" s="20" customFormat="1" x14ac:dyDescent="0.3"/>
    <row r="185" s="20" customFormat="1" x14ac:dyDescent="0.3"/>
  </sheetData>
  <mergeCells count="1">
    <mergeCell ref="A1:AG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Processing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patel</dc:creator>
  <cp:lastModifiedBy>ajay patel</cp:lastModifiedBy>
  <dcterms:created xsi:type="dcterms:W3CDTF">2026-04-11T16:50:24Z</dcterms:created>
  <dcterms:modified xsi:type="dcterms:W3CDTF">2026-04-13T13:53:54Z</dcterms:modified>
</cp:coreProperties>
</file>